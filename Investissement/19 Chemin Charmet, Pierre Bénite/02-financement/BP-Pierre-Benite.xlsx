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Hypothèses" sheetId="2" state="visible" r:id="rId2"/>
    <sheet xmlns:r="http://schemas.openxmlformats.org/officeDocument/2006/relationships" name="Plan 1 (5 lots)" sheetId="3" state="visible" r:id="rId3"/>
    <sheet xmlns:r="http://schemas.openxmlformats.org/officeDocument/2006/relationships" name="Projection 3 ans" sheetId="4" state="visible" r:id="rId4"/>
    <sheet xmlns:r="http://schemas.openxmlformats.org/officeDocument/2006/relationships" name="Amortiss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€&quot;;(#,##0 &quot;€&quot;);-"/>
    <numFmt numFmtId="165" formatCode="0.0%"/>
    <numFmt numFmtId="166" formatCode="#,##0.00 &quot;€&quot;;(#,##0.00 &quot;€&quot;);-"/>
    <numFmt numFmtId="167" formatCode="#,##0.0;(#,##0.0)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9C0006"/>
      <sz val="13"/>
    </font>
    <font>
      <name val="Arial"/>
      <b val="1"/>
      <color rgb="00006100"/>
      <sz val="14"/>
    </font>
    <font>
      <name val="Arial"/>
      <b val="1"/>
      <color rgb="001F4E78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F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10" fillId="4" borderId="0" applyAlignment="1" pivotButton="0" quotePrefix="0" xfId="0">
      <alignment horizontal="left" vertical="center"/>
    </xf>
    <xf numFmtId="49" fontId="6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1" fontId="3" fillId="6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4" pivotButton="0" quotePrefix="0" xfId="0"/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22" customWidth="1" min="3" max="3"/>
  </cols>
  <sheetData>
    <row r="1" ht="30" customHeight="1">
      <c r="A1" s="1" t="inlineStr">
        <is>
          <t>Pierre-Bénite — Synthèse projet</t>
        </is>
      </c>
    </row>
    <row r="3">
      <c r="B3" s="2" t="inlineStr">
        <is>
          <t>Compromis signé 04/05/2026 — Marc Chenut &amp; Antoine Bocquet</t>
        </is>
      </c>
      <c r="C3" s="3" t="n"/>
    </row>
    <row r="4">
      <c r="B4" s="2" t="inlineStr">
        <is>
          <t>Maison ~300 m² limite Saint-Genis-Laval — division en 5 lots (3 T3 + 2 T2) rénovés HG</t>
        </is>
      </c>
      <c r="C4" s="3" t="n"/>
    </row>
    <row r="6" ht="22" customHeight="1">
      <c r="A6" s="4" t="inlineStr">
        <is>
          <t>PLAN A — Location courte durée (LCD)</t>
        </is>
      </c>
    </row>
    <row r="7">
      <c r="B7" s="5" t="inlineStr">
        <is>
          <t>Revenus NET de charges / mois</t>
        </is>
      </c>
      <c r="C7" s="6">
        <f>'Plan 1 (5 lots)'!C26</f>
        <v/>
      </c>
    </row>
    <row r="8">
      <c r="B8" s="2" t="inlineStr">
        <is>
          <t>Mensualité prêt</t>
        </is>
      </c>
      <c r="C8" s="7">
        <f>-'Plan 1 (5 lots)'!C27</f>
        <v/>
      </c>
    </row>
    <row r="9" ht="28" customHeight="1">
      <c r="B9" s="5" t="inlineStr">
        <is>
          <t>CASH FLOW AVANT IMPÔT / mois</t>
        </is>
      </c>
      <c r="C9" s="8">
        <f>C7+C8</f>
        <v/>
      </c>
    </row>
    <row r="11" ht="22" customHeight="1">
      <c r="A11" s="4" t="inlineStr">
        <is>
          <t>PLAN B — Location longue durée (meublée)</t>
        </is>
      </c>
    </row>
    <row r="12">
      <c r="B12" s="2" t="inlineStr">
        <is>
          <t>Loyer T2 — 2 lots × 850 €/mois</t>
        </is>
      </c>
      <c r="C12" s="9">
        <f>Hypothèses!$C$22*Hypothèses!$C$47</f>
        <v/>
      </c>
    </row>
    <row r="13">
      <c r="B13" s="2" t="inlineStr">
        <is>
          <t>Loyer T3 — 3 lots × 1 250 €/mois</t>
        </is>
      </c>
      <c r="C13" s="9">
        <f>Hypothèses!$C$23*Hypothèses!$C$48</f>
        <v/>
      </c>
    </row>
    <row r="14">
      <c r="B14" s="5" t="inlineStr">
        <is>
          <t>Total loyers / mois</t>
        </is>
      </c>
      <c r="C14" s="10">
        <f>C12+C13</f>
        <v/>
      </c>
    </row>
    <row r="15">
      <c r="B15" s="2" t="inlineStr">
        <is>
          <t>Charges propriétaire (TF + PNO + entretien) / mois</t>
        </is>
      </c>
      <c r="C15" s="11">
        <f>-(Hypothèses!$C$42+Hypothèses!$C$24*Hypothèses!$C$43)/12-Hypothèses!$C$40-Hypothèses!$C$41</f>
        <v/>
      </c>
    </row>
    <row r="16">
      <c r="B16" s="2" t="inlineStr">
        <is>
          <t>Mensualité prêt</t>
        </is>
      </c>
      <c r="C16" s="7">
        <f>-'Plan 1 (5 lots)'!C27</f>
        <v/>
      </c>
    </row>
    <row r="17" ht="28" customHeight="1">
      <c r="B17" s="5" t="inlineStr">
        <is>
          <t>CASH FLOW AVANT IMPÔT / mois</t>
        </is>
      </c>
      <c r="C17" s="8">
        <f>C14+C15+C16</f>
        <v/>
      </c>
    </row>
    <row r="19" ht="22" customHeight="1">
      <c r="A19" s="4" t="inlineStr">
        <is>
          <t>PLAN C — Revente immédiate post-travaux</t>
        </is>
      </c>
    </row>
    <row r="20">
      <c r="B20" s="2" t="inlineStr">
        <is>
          <t>Coût total opération (achat + travaux + meubles + frais)</t>
        </is>
      </c>
      <c r="C20" s="9">
        <f>Hypothèses!$C$11</f>
        <v/>
      </c>
    </row>
    <row r="21">
      <c r="B21" s="5" t="inlineStr">
        <is>
          <t>Valeur revente (300 m² × 4 200 €/m²)</t>
        </is>
      </c>
      <c r="C21" s="6">
        <f>Hypothèses!$C$53</f>
        <v/>
      </c>
    </row>
    <row r="22">
      <c r="B22" s="2" t="inlineStr">
        <is>
          <t xml:space="preserve">    Prix constaté DVF appartement Saint-Genis-Laval rénové HG : 4 200 €/m²</t>
        </is>
      </c>
      <c r="C22" s="3" t="n"/>
    </row>
    <row r="23" ht="28" customHeight="1">
      <c r="B23" s="5" t="inlineStr">
        <is>
          <t>MARGE (revente − coût)</t>
        </is>
      </c>
      <c r="C23" s="8">
        <f>C21-C20</f>
        <v/>
      </c>
    </row>
    <row r="24">
      <c r="B24" s="5" t="inlineStr">
        <is>
          <t xml:space="preserve">    soit</t>
        </is>
      </c>
      <c r="C24" s="12">
        <f>(C21-C20)/C20</f>
        <v/>
      </c>
    </row>
    <row r="26">
      <c r="A26" s="13" t="inlineStr">
        <is>
          <t>Financement</t>
        </is>
      </c>
    </row>
    <row r="27">
      <c r="B27" s="2" t="inlineStr">
        <is>
          <t>Coût total opération</t>
        </is>
      </c>
      <c r="C27" s="9">
        <f>Hypothèses!$C$11</f>
        <v/>
      </c>
    </row>
    <row r="28">
      <c r="B28" s="2" t="inlineStr">
        <is>
          <t>Apport</t>
        </is>
      </c>
      <c r="C28" s="9">
        <f>Hypothèses!$C$14</f>
        <v/>
      </c>
    </row>
    <row r="29">
      <c r="B29" s="5" t="inlineStr">
        <is>
          <t>Emprunt sollicité</t>
        </is>
      </c>
      <c r="C29" s="6">
        <f>Hypothèses!$C$15</f>
        <v/>
      </c>
    </row>
    <row r="30">
      <c r="B30" s="5" t="inlineStr">
        <is>
          <t>Durée — Taux</t>
        </is>
      </c>
      <c r="C30" s="14">
        <f>Hypothèses!$C$16&amp;" ans à "&amp;TEXT(Hypothèses!$C$17,"0.0%")</f>
        <v/>
      </c>
    </row>
    <row r="31">
      <c r="B31" s="2" t="inlineStr">
        <is>
          <t>Mensualité</t>
        </is>
      </c>
      <c r="C31" s="9">
        <f>'Plan 1 (5 lots)'!C27</f>
        <v/>
      </c>
    </row>
    <row r="32">
      <c r="B32" s="2" t="inlineStr">
        <is>
          <t>Différé partiel demandé</t>
        </is>
      </c>
      <c r="C32" s="14">
        <f>Hypothèses!$C$18&amp;" mois (intérêts seuls)"</f>
        <v/>
      </c>
    </row>
  </sheetData>
  <mergeCells count="8">
    <mergeCell ref="A19:C19"/>
    <mergeCell ref="A11:C11"/>
    <mergeCell ref="A1:C1"/>
    <mergeCell ref="B3:C3"/>
    <mergeCell ref="A6:C6"/>
    <mergeCell ref="B22:C22"/>
    <mergeCell ref="A26:C2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</cols>
  <sheetData>
    <row r="1" ht="30" customHeight="1">
      <c r="A1" s="1" t="inlineStr">
        <is>
          <t>Hypothèses — BP Pierre-Bénite</t>
        </is>
      </c>
    </row>
    <row r="3" ht="22" customHeight="1">
      <c r="A3" s="4" t="inlineStr">
        <is>
          <t>Acquisition</t>
        </is>
      </c>
    </row>
    <row r="4">
      <c r="B4" s="15" t="inlineStr">
        <is>
          <t>Poste</t>
        </is>
      </c>
      <c r="C4" s="16" t="inlineStr">
        <is>
          <t>Valeur</t>
        </is>
      </c>
    </row>
    <row r="5">
      <c r="B5" s="2" t="inlineStr">
        <is>
          <t>Prix d'achat</t>
        </is>
      </c>
      <c r="C5" s="17" t="n">
        <v>350000</v>
      </c>
    </row>
    <row r="6">
      <c r="B6" s="2" t="inlineStr">
        <is>
          <t>Notaire (%)</t>
        </is>
      </c>
      <c r="C6" s="18" t="n">
        <v>0.08</v>
      </c>
    </row>
    <row r="7">
      <c r="B7" s="2" t="inlineStr">
        <is>
          <t>Notaire (€)</t>
        </is>
      </c>
      <c r="C7" s="19">
        <f>C5*C6</f>
        <v/>
      </c>
    </row>
    <row r="8">
      <c r="B8" s="2" t="inlineStr">
        <is>
          <t>Travaux</t>
        </is>
      </c>
      <c r="C8" s="17" t="n">
        <v>300000</v>
      </c>
    </row>
    <row r="9">
      <c r="B9" s="2" t="inlineStr">
        <is>
          <t>Ameublement</t>
        </is>
      </c>
      <c r="C9" s="17" t="n">
        <v>50000</v>
      </c>
    </row>
    <row r="10">
      <c r="B10" s="2" t="inlineStr">
        <is>
          <t>Frais bancaires</t>
        </is>
      </c>
      <c r="C10" s="17" t="n">
        <v>10000</v>
      </c>
    </row>
    <row r="11">
      <c r="B11" s="5" t="inlineStr">
        <is>
          <t>TOTAL opération</t>
        </is>
      </c>
      <c r="C11" s="20">
        <f>SUM(C5,C7,C8,C9,C10)</f>
        <v/>
      </c>
    </row>
    <row r="13" ht="22" customHeight="1">
      <c r="A13" s="4" t="inlineStr">
        <is>
          <t>Financement</t>
        </is>
      </c>
    </row>
    <row r="14">
      <c r="B14" s="2" t="inlineStr">
        <is>
          <t>Apport</t>
        </is>
      </c>
      <c r="C14" s="17" t="n">
        <v>150000</v>
      </c>
    </row>
    <row r="15">
      <c r="B15" s="5" t="inlineStr">
        <is>
          <t>Emprunt</t>
        </is>
      </c>
      <c r="C15" s="20">
        <f>C11-C14</f>
        <v/>
      </c>
    </row>
    <row r="16">
      <c r="B16" s="2" t="inlineStr">
        <is>
          <t>Durée emprunt (années)</t>
        </is>
      </c>
      <c r="C16" s="21" t="n">
        <v>20</v>
      </c>
    </row>
    <row r="17">
      <c r="B17" s="2" t="inlineStr">
        <is>
          <t>Taux d'intérêt</t>
        </is>
      </c>
      <c r="C17" s="18" t="n">
        <v>0.038</v>
      </c>
    </row>
    <row r="18">
      <c r="B18" s="2" t="inlineStr">
        <is>
          <t>Différé (mois)</t>
        </is>
      </c>
      <c r="C18" s="21" t="n">
        <v>18</v>
      </c>
    </row>
    <row r="20" ht="22" customHeight="1">
      <c r="A20" s="4" t="inlineStr">
        <is>
          <t>Composition &amp; revenus (NET de commissions OTA)</t>
        </is>
      </c>
    </row>
    <row r="21">
      <c r="B21" s="15" t="inlineStr">
        <is>
          <t>Type</t>
        </is>
      </c>
      <c r="C21" s="16" t="inlineStr">
        <is>
          <t>Nb lots</t>
        </is>
      </c>
      <c r="D21" s="16" t="inlineStr">
        <is>
          <t>Prix net/nuit</t>
        </is>
      </c>
    </row>
    <row r="22">
      <c r="B22" s="2" t="inlineStr">
        <is>
          <t>T2</t>
        </is>
      </c>
      <c r="C22" s="21" t="n">
        <v>2</v>
      </c>
      <c r="D22" s="17" t="n">
        <v>75</v>
      </c>
    </row>
    <row r="23">
      <c r="B23" s="2" t="inlineStr">
        <is>
          <t>T3</t>
        </is>
      </c>
      <c r="C23" s="21" t="n">
        <v>3</v>
      </c>
      <c r="D23" s="17" t="n">
        <v>115</v>
      </c>
    </row>
    <row r="24">
      <c r="B24" s="5" t="inlineStr">
        <is>
          <t>Total lots</t>
        </is>
      </c>
      <c r="C24" s="22">
        <f>SUM(C22:C23)</f>
        <v/>
      </c>
    </row>
    <row r="25">
      <c r="B25" s="2" t="inlineStr">
        <is>
          <t>Nuits/mois — T2</t>
        </is>
      </c>
      <c r="C25" s="21" t="n">
        <v>29</v>
      </c>
    </row>
    <row r="26">
      <c r="B26" s="2" t="inlineStr">
        <is>
          <t>Nuits/mois — T3</t>
        </is>
      </c>
      <c r="C26" s="21" t="n">
        <v>29</v>
      </c>
    </row>
    <row r="28" ht="22" customHeight="1">
      <c r="A28" s="4" t="inlineStr">
        <is>
          <t>Charges courantes (par lot par mois)</t>
        </is>
      </c>
    </row>
    <row r="29">
      <c r="B29" s="15" t="inlineStr">
        <is>
          <t>Poste</t>
        </is>
      </c>
      <c r="C29" s="16" t="inlineStr">
        <is>
          <t>T2</t>
        </is>
      </c>
      <c r="D29" s="16" t="inlineStr">
        <is>
          <t>T3</t>
        </is>
      </c>
    </row>
    <row r="30">
      <c r="B30" s="2" t="inlineStr">
        <is>
          <t>Électricité / mois</t>
        </is>
      </c>
      <c r="C30" s="17" t="n">
        <v>70</v>
      </c>
      <c r="D30" s="17" t="n">
        <v>70</v>
      </c>
    </row>
    <row r="31">
      <c r="B31" s="2" t="inlineStr">
        <is>
          <t>Internet &amp; TV / mois</t>
        </is>
      </c>
      <c r="C31" s="17" t="n">
        <v>15</v>
      </c>
      <c r="D31" s="17" t="n">
        <v>15</v>
      </c>
    </row>
    <row r="32">
      <c r="B32" s="2" t="inlineStr">
        <is>
          <t>Logiciel gestion / mois</t>
        </is>
      </c>
      <c r="C32" s="17" t="n">
        <v>30</v>
      </c>
      <c r="D32" s="17" t="n">
        <v>30</v>
      </c>
    </row>
    <row r="33">
      <c r="B33" s="2" t="inlineStr">
        <is>
          <t>Consommables / mois</t>
        </is>
      </c>
      <c r="C33" s="17" t="n">
        <v>30</v>
      </c>
      <c r="D33" s="17" t="n">
        <v>30</v>
      </c>
    </row>
    <row r="34">
      <c r="B34" s="2" t="inlineStr">
        <is>
          <t>Ménage / séjour</t>
        </is>
      </c>
      <c r="C34" s="23" t="n">
        <v>17.5</v>
      </c>
      <c r="D34" s="23" t="n">
        <v>25</v>
      </c>
    </row>
    <row r="35">
      <c r="B35" s="2" t="inlineStr">
        <is>
          <t>Blanchisserie / séjour</t>
        </is>
      </c>
      <c r="C35" s="23" t="n">
        <v>15</v>
      </c>
      <c r="D35" s="23" t="n">
        <v>18.5</v>
      </c>
    </row>
    <row r="36">
      <c r="B36" s="2" t="inlineStr">
        <is>
          <t>Nuits / séjour (occupation)</t>
        </is>
      </c>
      <c r="C36" s="24" t="n">
        <v>1.8</v>
      </c>
      <c r="D36" s="24" t="n">
        <v>3</v>
      </c>
    </row>
    <row r="38" ht="22" customHeight="1">
      <c r="A38" s="4" t="inlineStr">
        <is>
          <t>Charges fixes (totales, mensuelles ou annuelles)</t>
        </is>
      </c>
    </row>
    <row r="39">
      <c r="B39" s="2" t="inlineStr">
        <is>
          <t>Eau / mois (total)</t>
        </is>
      </c>
      <c r="C39" s="17" t="n">
        <v>30</v>
      </c>
    </row>
    <row r="40">
      <c r="B40" s="2" t="inlineStr">
        <is>
          <t>Entretien extérieur / mois</t>
        </is>
      </c>
      <c r="C40" s="17" t="n">
        <v>50</v>
      </c>
    </row>
    <row r="41">
      <c r="B41" s="2" t="inlineStr">
        <is>
          <t>Entretien mobilier / mois</t>
        </is>
      </c>
      <c r="C41" s="17" t="n">
        <v>300</v>
      </c>
    </row>
    <row r="42">
      <c r="B42" s="2" t="inlineStr">
        <is>
          <t>Taxe foncière / an</t>
        </is>
      </c>
      <c r="C42" s="17" t="n">
        <v>2000</v>
      </c>
    </row>
    <row r="43">
      <c r="B43" s="2" t="inlineStr">
        <is>
          <t>Assurance PNO / lot / an</t>
        </is>
      </c>
      <c r="C43" s="17" t="n">
        <v>150</v>
      </c>
    </row>
    <row r="44">
      <c r="B44" s="2" t="inlineStr">
        <is>
          <t>Comptabilité / an</t>
        </is>
      </c>
      <c r="C44" s="17" t="n">
        <v>0</v>
      </c>
    </row>
    <row r="46" ht="22" customHeight="1">
      <c r="A46" s="4" t="inlineStr">
        <is>
          <t>Plan B — Location longue durée (meublée, Saint-Genis)</t>
        </is>
      </c>
    </row>
    <row r="47">
      <c r="B47" s="2" t="inlineStr">
        <is>
          <t>Loyer T2 / mois</t>
        </is>
      </c>
      <c r="C47" s="17" t="n">
        <v>850</v>
      </c>
    </row>
    <row r="48">
      <c r="B48" s="2" t="inlineStr">
        <is>
          <t>Loyer T3 / mois</t>
        </is>
      </c>
      <c r="C48" s="17" t="n">
        <v>1250</v>
      </c>
    </row>
    <row r="50" ht="22" customHeight="1">
      <c r="A50" s="4" t="inlineStr">
        <is>
          <t>Revente — Valeur post-rénovation</t>
        </is>
      </c>
    </row>
    <row r="51">
      <c r="B51" s="2" t="inlineStr">
        <is>
          <t>Surface totale (m²)</t>
        </is>
      </c>
      <c r="C51" s="21" t="n">
        <v>300</v>
      </c>
    </row>
    <row r="52">
      <c r="B52" s="2" t="inlineStr">
        <is>
          <t>Prix m² revente (HG Saint-Genis)</t>
        </is>
      </c>
      <c r="C52" s="17" t="n">
        <v>4200</v>
      </c>
    </row>
    <row r="53">
      <c r="B53" s="5" t="inlineStr">
        <is>
          <t>Valeur revente</t>
        </is>
      </c>
      <c r="C53" s="20">
        <f>C51*C52</f>
        <v/>
      </c>
    </row>
    <row r="55">
      <c r="A55" s="2" t="inlineStr">
        <is>
          <t>Légende :</t>
        </is>
      </c>
    </row>
    <row r="56">
      <c r="A56" s="25" t="inlineStr">
        <is>
          <t xml:space="preserve">  Bleu = input modifiable</t>
        </is>
      </c>
    </row>
    <row r="57">
      <c r="A57" s="26" t="inlineStr">
        <is>
          <t xml:space="preserve">  Noir = formule calculée</t>
        </is>
      </c>
    </row>
  </sheetData>
  <mergeCells count="8">
    <mergeCell ref="A1:D1"/>
    <mergeCell ref="A50:D50"/>
    <mergeCell ref="A3:D3"/>
    <mergeCell ref="A20:D20"/>
    <mergeCell ref="A38:D38"/>
    <mergeCell ref="A28:D28"/>
    <mergeCell ref="A46:D46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</cols>
  <sheetData>
    <row r="1" ht="30" customHeight="1">
      <c r="A1" s="1" t="inlineStr">
        <is>
          <t>Plan 1 — 5 lots (3 T3 + 2 T2) — Régime plein</t>
        </is>
      </c>
    </row>
    <row r="3" ht="22" customHeight="1">
      <c r="A3" s="4" t="inlineStr">
        <is>
          <t>Revenus location courte durée (annuels, NET de commissions OTA)</t>
        </is>
      </c>
    </row>
    <row r="4">
      <c r="B4" s="15" t="inlineStr">
        <is>
          <t>Type</t>
        </is>
      </c>
      <c r="C4" s="16" t="inlineStr">
        <is>
          <t>/ mois</t>
        </is>
      </c>
      <c r="D4" s="16" t="inlineStr">
        <is>
          <t>/ an</t>
        </is>
      </c>
    </row>
    <row r="5">
      <c r="B5" s="2" t="inlineStr">
        <is>
          <t>T2 (2 lots × 75 € × 29 nuits)</t>
        </is>
      </c>
      <c r="C5" s="9">
        <f>Hypothèses!$C$22*Hypothèses!$D$22*Hypothèses!$C$25</f>
        <v/>
      </c>
      <c r="D5" s="19">
        <f>C5*12</f>
        <v/>
      </c>
    </row>
    <row r="6">
      <c r="B6" s="2" t="inlineStr">
        <is>
          <t>T3 (3 lots × 115 € × 29 nuits)</t>
        </is>
      </c>
      <c r="C6" s="9">
        <f>Hypothèses!$C$23*Hypothèses!$D$23*Hypothèses!$C$26</f>
        <v/>
      </c>
      <c r="D6" s="19">
        <f>C6*12</f>
        <v/>
      </c>
    </row>
    <row r="7">
      <c r="B7" s="5" t="inlineStr">
        <is>
          <t>REVENUS TOTAUX</t>
        </is>
      </c>
      <c r="C7" s="20">
        <f>SUM(C5:C6)</f>
        <v/>
      </c>
      <c r="D7" s="20">
        <f>SUM(D5:D6)</f>
        <v/>
      </c>
    </row>
    <row r="9" ht="22" customHeight="1">
      <c r="A9" s="4" t="inlineStr">
        <is>
          <t>Charges (totales)</t>
        </is>
      </c>
    </row>
    <row r="10">
      <c r="B10" s="15" t="inlineStr">
        <is>
          <t>Poste</t>
        </is>
      </c>
      <c r="C10" s="16" t="inlineStr">
        <is>
          <t>/ mois</t>
        </is>
      </c>
      <c r="D10" s="16" t="inlineStr">
        <is>
          <t>/ an</t>
        </is>
      </c>
    </row>
    <row r="11">
      <c r="B11" s="2" t="inlineStr">
        <is>
          <t>Électricité</t>
        </is>
      </c>
      <c r="C11" s="9">
        <f>Hypothèses!$C$22*Hypothèses!$C$30+Hypothèses!$C$23*Hypothèses!$D$30</f>
        <v/>
      </c>
      <c r="D11" s="19">
        <f>C11*12</f>
        <v/>
      </c>
    </row>
    <row r="12">
      <c r="B12" s="2" t="inlineStr">
        <is>
          <t>Internet &amp; TV</t>
        </is>
      </c>
      <c r="C12" s="9">
        <f>Hypothèses!$C$22*Hypothèses!$C$31+Hypothèses!$C$23*Hypothèses!$D$31</f>
        <v/>
      </c>
      <c r="D12" s="19">
        <f>C12*12</f>
        <v/>
      </c>
    </row>
    <row r="13">
      <c r="B13" s="2" t="inlineStr">
        <is>
          <t>Logiciel gestion</t>
        </is>
      </c>
      <c r="C13" s="9">
        <f>Hypothèses!$C$22*Hypothèses!$C$32+Hypothèses!$C$23*Hypothèses!$D$32</f>
        <v/>
      </c>
      <c r="D13" s="19">
        <f>C13*12</f>
        <v/>
      </c>
    </row>
    <row r="14">
      <c r="B14" s="2" t="inlineStr">
        <is>
          <t>Consommables</t>
        </is>
      </c>
      <c r="C14" s="9">
        <f>Hypothèses!$C$22*Hypothèses!$C$33+Hypothèses!$C$23*Hypothèses!$D$33</f>
        <v/>
      </c>
      <c r="D14" s="19">
        <f>C14*12</f>
        <v/>
      </c>
    </row>
    <row r="15">
      <c r="B15" s="2" t="inlineStr">
        <is>
          <t>Eau</t>
        </is>
      </c>
      <c r="C15" s="9">
        <f>Hypothèses!$C$39</f>
        <v/>
      </c>
      <c r="D15" s="19">
        <f>C15*12</f>
        <v/>
      </c>
    </row>
    <row r="16">
      <c r="B16" s="2" t="inlineStr">
        <is>
          <t>Entretien extérieur</t>
        </is>
      </c>
      <c r="C16" s="9">
        <f>Hypothèses!$C$40</f>
        <v/>
      </c>
      <c r="D16" s="19">
        <f>C16*12</f>
        <v/>
      </c>
    </row>
    <row r="17">
      <c r="B17" s="2" t="inlineStr">
        <is>
          <t>Entretien mobilier</t>
        </is>
      </c>
      <c r="C17" s="9">
        <f>Hypothèses!$C$41</f>
        <v/>
      </c>
      <c r="D17" s="19">
        <f>C17*12</f>
        <v/>
      </c>
    </row>
    <row r="18">
      <c r="B18" s="2" t="inlineStr">
        <is>
          <t>Ménage + blanchisserie T2</t>
        </is>
      </c>
      <c r="C18" s="9">
        <f>Hypothèses!$C$22*(Hypothèses!$C$25/Hypothèses!$C$36)*(Hypothèses!$C$34+Hypothèses!$C$35)</f>
        <v/>
      </c>
      <c r="D18" s="19">
        <f>C18*12</f>
        <v/>
      </c>
    </row>
    <row r="19">
      <c r="B19" s="2" t="inlineStr">
        <is>
          <t>Ménage + blanchisserie T3</t>
        </is>
      </c>
      <c r="C19" s="9">
        <f>Hypothèses!$C$23*(Hypothèses!$C$26/Hypothèses!$D$36)*(Hypothèses!$D$34+Hypothèses!$D$35)</f>
        <v/>
      </c>
      <c r="D19" s="19">
        <f>C19*12</f>
        <v/>
      </c>
    </row>
    <row r="20">
      <c r="B20" s="2" t="inlineStr">
        <is>
          <t>Taxe foncière (annuelle)</t>
        </is>
      </c>
      <c r="C20" s="9">
        <f>Hypothèses!$C$42/12</f>
        <v/>
      </c>
      <c r="D20" s="9">
        <f>Hypothèses!$C$42</f>
        <v/>
      </c>
    </row>
    <row r="21">
      <c r="B21" s="2" t="inlineStr">
        <is>
          <t>Assurance PNO (par lot)</t>
        </is>
      </c>
      <c r="C21" s="9">
        <f>Hypothèses!$C$24*Hypothèses!$C$43/12</f>
        <v/>
      </c>
      <c r="D21" s="9">
        <f>Hypothèses!$C$24*Hypothèses!$C$43</f>
        <v/>
      </c>
    </row>
    <row r="22">
      <c r="B22" s="2" t="inlineStr">
        <is>
          <t>Comptabilité</t>
        </is>
      </c>
      <c r="C22" s="9">
        <f>Hypothèses!$C$44/12</f>
        <v/>
      </c>
      <c r="D22" s="9">
        <f>Hypothèses!$C$44</f>
        <v/>
      </c>
    </row>
    <row r="23">
      <c r="B23" s="5" t="inlineStr">
        <is>
          <t>CHARGES TOTALES</t>
        </is>
      </c>
      <c r="C23" s="20">
        <f>SUM(C11:C22)</f>
        <v/>
      </c>
      <c r="D23" s="20">
        <f>SUM(D11:D22)</f>
        <v/>
      </c>
    </row>
    <row r="25" ht="22" customHeight="1">
      <c r="A25" s="4" t="inlineStr">
        <is>
          <t>Résultat opérationnel</t>
        </is>
      </c>
    </row>
    <row r="26">
      <c r="B26" s="5" t="inlineStr">
        <is>
          <t>Revenus NET de charges</t>
        </is>
      </c>
      <c r="C26" s="10">
        <f>C7-C23</f>
        <v/>
      </c>
      <c r="D26" s="10">
        <f>D7-D23</f>
        <v/>
      </c>
    </row>
    <row r="27">
      <c r="B27" s="2" t="inlineStr">
        <is>
          <t>Mensualité prêt (capital + intérêts)</t>
        </is>
      </c>
      <c r="C27" s="11">
        <f>-PMT(Hypothèses!$C$17/12, Hypothèses!$C$16*12, Hypothèses!$C$15)</f>
        <v/>
      </c>
      <c r="D27" s="11">
        <f>C27*12</f>
        <v/>
      </c>
    </row>
    <row r="28" ht="26" customHeight="1">
      <c r="B28" s="5" t="inlineStr">
        <is>
          <t>CASH FLOW AVANT IMPÔT</t>
        </is>
      </c>
      <c r="C28" s="8">
        <f>C26-C27</f>
        <v/>
      </c>
      <c r="D28" s="8">
        <f>D26-D27</f>
        <v/>
      </c>
    </row>
  </sheetData>
  <mergeCells count="4">
    <mergeCell ref="A1:D1"/>
    <mergeCell ref="A9:D9"/>
    <mergeCell ref="A3:D3"/>
    <mergeCell ref="A25:D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Projection 3 ans — Phase travaux + Montée + Régime plein</t>
        </is>
      </c>
    </row>
    <row r="3">
      <c r="B3" s="2" t="inlineStr">
        <is>
          <t>Hypothèses : Acte M0 → Travaux M1-M6 (revenus=0) → Montée M7-M9 (50/75/90 %) → Plein M10+</t>
        </is>
      </c>
      <c r="C3" s="27" t="n"/>
      <c r="D3" s="27" t="n"/>
      <c r="E3" s="3" t="n"/>
    </row>
    <row r="4" ht="28" customHeight="1">
      <c r="B4" s="2" t="inlineStr">
        <is>
          <t>Différé partiel 18 mois (intérêts seuls jusqu'à M+18). An 1 = 12 mois intérêts seuls. An 2 = 6 mois intérêts seuls + 6 mois mensualité pleine. An 3 = 12 mois mensualité pleine.</t>
        </is>
      </c>
      <c r="C4" s="27" t="n"/>
      <c r="D4" s="27" t="n"/>
      <c r="E4" s="3" t="n"/>
    </row>
    <row r="6">
      <c r="B6" s="15" t="inlineStr">
        <is>
          <t>Poste</t>
        </is>
      </c>
      <c r="C6" s="16" t="inlineStr">
        <is>
          <t>An 1</t>
        </is>
      </c>
      <c r="D6" s="16" t="inlineStr">
        <is>
          <t>An 2</t>
        </is>
      </c>
      <c r="E6" s="16" t="inlineStr">
        <is>
          <t>An 3</t>
        </is>
      </c>
    </row>
    <row r="7">
      <c r="B7" s="5" t="inlineStr">
        <is>
          <t>Revenus location courte durée</t>
        </is>
      </c>
      <c r="C7" s="19">
        <f>'Plan 1 (5 lots)'!D7*0.4291666666666667</f>
        <v/>
      </c>
      <c r="D7" s="19">
        <f>'Plan 1 (5 lots)'!D7</f>
        <v/>
      </c>
      <c r="E7" s="19">
        <f>'Plan 1 (5 lots)'!D7</f>
        <v/>
      </c>
    </row>
    <row r="8">
      <c r="B8" s="2" t="inlineStr">
        <is>
          <t>− Charges totales</t>
        </is>
      </c>
      <c r="C8" s="19">
        <f>-'Plan 1 (5 lots)'!D23*0.4291666666666667</f>
        <v/>
      </c>
      <c r="D8" s="19">
        <f>-'Plan 1 (5 lots)'!D23</f>
        <v/>
      </c>
      <c r="E8" s="19">
        <f>-'Plan 1 (5 lots)'!D23</f>
        <v/>
      </c>
    </row>
    <row r="9">
      <c r="B9" s="5">
        <f> Revenus NET de charges</f>
        <v/>
      </c>
      <c r="C9" s="20">
        <f>C7+C8</f>
        <v/>
      </c>
      <c r="D9" s="20">
        <f>D7+D8</f>
        <v/>
      </c>
      <c r="E9" s="20">
        <f>E7+E8</f>
        <v/>
      </c>
    </row>
    <row r="11">
      <c r="B11" s="2" t="inlineStr">
        <is>
          <t>− Annuité prêt (différé sur an 1-2)</t>
        </is>
      </c>
      <c r="C11" s="19">
        <f>-Hypothèses!$C$15*Hypothèses!$C$17</f>
        <v/>
      </c>
      <c r="D11" s="19">
        <f>-Hypothèses!$C$15*Hypothèses!$C$17*0.5-('Plan 1 (5 lots)'!C27)*6</f>
        <v/>
      </c>
      <c r="E11" s="19">
        <f>-('Plan 1 (5 lots)'!C27)*12</f>
        <v/>
      </c>
    </row>
    <row r="13" ht="26" customHeight="1">
      <c r="B13" s="5">
        <f> CASH FLOW AVANT IMPÔT</f>
        <v/>
      </c>
      <c r="C13" s="8">
        <f>C9+C11</f>
        <v/>
      </c>
      <c r="D13" s="8">
        <f>D9+D11</f>
        <v/>
      </c>
      <c r="E13" s="8">
        <f>E9+E11</f>
        <v/>
      </c>
    </row>
    <row r="14">
      <c r="B14" s="5" t="inlineStr">
        <is>
          <t xml:space="preserve">    Cash flow / mois moyen</t>
        </is>
      </c>
      <c r="C14" s="20">
        <f>C13/12</f>
        <v/>
      </c>
      <c r="D14" s="20">
        <f>D13/12</f>
        <v/>
      </c>
      <c r="E14" s="20">
        <f>E13/12</f>
        <v/>
      </c>
    </row>
    <row r="16">
      <c r="B16" s="5" t="inlineStr">
        <is>
          <t>Cash flow CUMULÉ (depuis acte)</t>
        </is>
      </c>
      <c r="C16" s="20">
        <f>C13</f>
        <v/>
      </c>
      <c r="D16" s="20">
        <f>C16+D13</f>
        <v/>
      </c>
      <c r="E16" s="20">
        <f>D16+E13</f>
        <v/>
      </c>
    </row>
  </sheetData>
  <mergeCells count="3">
    <mergeCell ref="A1:E1"/>
    <mergeCell ref="B3:E3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Amortissement annuel emprunt</t>
        </is>
      </c>
    </row>
    <row r="3">
      <c r="B3" s="2" t="inlineStr">
        <is>
          <t>Mensualité</t>
        </is>
      </c>
      <c r="C3" s="19">
        <f>-PMT(Hypothèses!$C$17/12, Hypothèses!$C$16*12, Hypothèses!$C$15)</f>
        <v/>
      </c>
    </row>
    <row r="5">
      <c r="B5" s="16" t="inlineStr">
        <is>
          <t>Année</t>
        </is>
      </c>
      <c r="C5" s="16" t="inlineStr">
        <is>
          <t>Capital début</t>
        </is>
      </c>
      <c r="D5" s="16" t="inlineStr">
        <is>
          <t>Annuité (× 12)</t>
        </is>
      </c>
      <c r="E5" s="16" t="inlineStr">
        <is>
          <t>Intérêts an</t>
        </is>
      </c>
      <c r="F5" s="16" t="inlineStr">
        <is>
          <t>Capital remboursé</t>
        </is>
      </c>
    </row>
    <row r="6">
      <c r="B6" s="28" t="n">
        <v>1</v>
      </c>
      <c r="C6" s="19">
        <f>Hypothèses!$C$15</f>
        <v/>
      </c>
      <c r="D6" s="19">
        <f>$C$3*12</f>
        <v/>
      </c>
      <c r="E6" s="19">
        <f>D6-F6</f>
        <v/>
      </c>
      <c r="F6" s="19">
        <f>C6-(Hypothèses!$C$15)*((1+Hypothèses!$C$17/12)^(Hypothèses!$C$16*12)-(1+Hypothèses!$C$17/12)^(1*12))/((1+Hypothèses!$C$17/12)^(Hypothèses!$C$16*12)-1)</f>
        <v/>
      </c>
    </row>
    <row r="7">
      <c r="B7" s="28" t="n">
        <v>2</v>
      </c>
      <c r="C7" s="19">
        <f>C6-F6</f>
        <v/>
      </c>
      <c r="D7" s="19">
        <f>$C$3*12</f>
        <v/>
      </c>
      <c r="E7" s="19">
        <f>D7-F7</f>
        <v/>
      </c>
      <c r="F7" s="19">
        <f>C7-(Hypothèses!$C$15)*((1+Hypothèses!$C$17/12)^(Hypothèses!$C$16*12)-(1+Hypothèses!$C$17/12)^(2*12))/((1+Hypothèses!$C$17/12)^(Hypothèses!$C$16*12)-1)</f>
        <v/>
      </c>
    </row>
    <row r="8">
      <c r="B8" s="28" t="n">
        <v>3</v>
      </c>
      <c r="C8" s="19">
        <f>C7-F7</f>
        <v/>
      </c>
      <c r="D8" s="19">
        <f>$C$3*12</f>
        <v/>
      </c>
      <c r="E8" s="19">
        <f>D8-F8</f>
        <v/>
      </c>
      <c r="F8" s="19">
        <f>C8-(Hypothèses!$C$15)*((1+Hypothèses!$C$17/12)^(Hypothèses!$C$16*12)-(1+Hypothèses!$C$17/12)^(3*12))/((1+Hypothèses!$C$17/12)^(Hypothèses!$C$16*12)-1)</f>
        <v/>
      </c>
    </row>
    <row r="9">
      <c r="B9" s="28" t="n">
        <v>4</v>
      </c>
      <c r="C9" s="19">
        <f>C8-F8</f>
        <v/>
      </c>
      <c r="D9" s="19">
        <f>$C$3*12</f>
        <v/>
      </c>
      <c r="E9" s="19">
        <f>D9-F9</f>
        <v/>
      </c>
      <c r="F9" s="19">
        <f>C9-(Hypothèses!$C$15)*((1+Hypothèses!$C$17/12)^(Hypothèses!$C$16*12)-(1+Hypothèses!$C$17/12)^(4*12))/((1+Hypothèses!$C$17/12)^(Hypothèses!$C$16*12)-1)</f>
        <v/>
      </c>
    </row>
    <row r="10">
      <c r="B10" s="28" t="n">
        <v>5</v>
      </c>
      <c r="C10" s="19">
        <f>C9-F9</f>
        <v/>
      </c>
      <c r="D10" s="19">
        <f>$C$3*12</f>
        <v/>
      </c>
      <c r="E10" s="19">
        <f>D10-F10</f>
        <v/>
      </c>
      <c r="F10" s="19">
        <f>C10-(Hypothèses!$C$15)*((1+Hypothèses!$C$17/12)^(Hypothèses!$C$16*12)-(1+Hypothèses!$C$17/12)^(5*12))/((1+Hypothèses!$C$17/12)^(Hypothèses!$C$16*12)-1)</f>
        <v/>
      </c>
    </row>
    <row r="11">
      <c r="B11" s="28" t="n">
        <v>6</v>
      </c>
      <c r="C11" s="19">
        <f>C10-F10</f>
        <v/>
      </c>
      <c r="D11" s="19">
        <f>$C$3*12</f>
        <v/>
      </c>
      <c r="E11" s="19">
        <f>D11-F11</f>
        <v/>
      </c>
      <c r="F11" s="19">
        <f>C11-(Hypothèses!$C$15)*((1+Hypothèses!$C$17/12)^(Hypothèses!$C$16*12)-(1+Hypothèses!$C$17/12)^(6*12))/((1+Hypothèses!$C$17/12)^(Hypothèses!$C$16*12)-1)</f>
        <v/>
      </c>
    </row>
    <row r="12">
      <c r="B12" s="28" t="n">
        <v>7</v>
      </c>
      <c r="C12" s="19">
        <f>C11-F11</f>
        <v/>
      </c>
      <c r="D12" s="19">
        <f>$C$3*12</f>
        <v/>
      </c>
      <c r="E12" s="19">
        <f>D12-F12</f>
        <v/>
      </c>
      <c r="F12" s="19">
        <f>C12-(Hypothèses!$C$15)*((1+Hypothèses!$C$17/12)^(Hypothèses!$C$16*12)-(1+Hypothèses!$C$17/12)^(7*12))/((1+Hypothèses!$C$17/12)^(Hypothèses!$C$16*12)-1)</f>
        <v/>
      </c>
    </row>
    <row r="13">
      <c r="B13" s="28" t="n">
        <v>8</v>
      </c>
      <c r="C13" s="19">
        <f>C12-F12</f>
        <v/>
      </c>
      <c r="D13" s="19">
        <f>$C$3*12</f>
        <v/>
      </c>
      <c r="E13" s="19">
        <f>D13-F13</f>
        <v/>
      </c>
      <c r="F13" s="19">
        <f>C13-(Hypothèses!$C$15)*((1+Hypothèses!$C$17/12)^(Hypothèses!$C$16*12)-(1+Hypothèses!$C$17/12)^(8*12))/((1+Hypothèses!$C$17/12)^(Hypothèses!$C$16*12)-1)</f>
        <v/>
      </c>
    </row>
    <row r="14">
      <c r="B14" s="28" t="n">
        <v>9</v>
      </c>
      <c r="C14" s="19">
        <f>C13-F13</f>
        <v/>
      </c>
      <c r="D14" s="19">
        <f>$C$3*12</f>
        <v/>
      </c>
      <c r="E14" s="19">
        <f>D14-F14</f>
        <v/>
      </c>
      <c r="F14" s="19">
        <f>C14-(Hypothèses!$C$15)*((1+Hypothèses!$C$17/12)^(Hypothèses!$C$16*12)-(1+Hypothèses!$C$17/12)^(9*12))/((1+Hypothèses!$C$17/12)^(Hypothèses!$C$16*12)-1)</f>
        <v/>
      </c>
    </row>
    <row r="15">
      <c r="B15" s="28" t="n">
        <v>10</v>
      </c>
      <c r="C15" s="19">
        <f>C14-F14</f>
        <v/>
      </c>
      <c r="D15" s="19">
        <f>$C$3*12</f>
        <v/>
      </c>
      <c r="E15" s="19">
        <f>D15-F15</f>
        <v/>
      </c>
      <c r="F15" s="19">
        <f>C15-(Hypothèses!$C$15)*((1+Hypothèses!$C$17/12)^(Hypothèses!$C$16*12)-(1+Hypothèses!$C$17/12)^(10*12))/((1+Hypothèses!$C$17/12)^(Hypothèses!$C$16*12)-1)</f>
        <v/>
      </c>
    </row>
    <row r="16">
      <c r="B16" s="28" t="n">
        <v>11</v>
      </c>
      <c r="C16" s="19">
        <f>C15-F15</f>
        <v/>
      </c>
      <c r="D16" s="19">
        <f>$C$3*12</f>
        <v/>
      </c>
      <c r="E16" s="19">
        <f>D16-F16</f>
        <v/>
      </c>
      <c r="F16" s="19">
        <f>C16-(Hypothèses!$C$15)*((1+Hypothèses!$C$17/12)^(Hypothèses!$C$16*12)-(1+Hypothèses!$C$17/12)^(11*12))/((1+Hypothèses!$C$17/12)^(Hypothèses!$C$16*12)-1)</f>
        <v/>
      </c>
    </row>
    <row r="17">
      <c r="B17" s="28" t="n">
        <v>12</v>
      </c>
      <c r="C17" s="19">
        <f>C16-F16</f>
        <v/>
      </c>
      <c r="D17" s="19">
        <f>$C$3*12</f>
        <v/>
      </c>
      <c r="E17" s="19">
        <f>D17-F17</f>
        <v/>
      </c>
      <c r="F17" s="19">
        <f>C17-(Hypothèses!$C$15)*((1+Hypothèses!$C$17/12)^(Hypothèses!$C$16*12)-(1+Hypothèses!$C$17/12)^(12*12))/((1+Hypothèses!$C$17/12)^(Hypothèses!$C$16*12)-1)</f>
        <v/>
      </c>
    </row>
    <row r="18">
      <c r="B18" s="28" t="n">
        <v>13</v>
      </c>
      <c r="C18" s="19">
        <f>C17-F17</f>
        <v/>
      </c>
      <c r="D18" s="19">
        <f>$C$3*12</f>
        <v/>
      </c>
      <c r="E18" s="19">
        <f>D18-F18</f>
        <v/>
      </c>
      <c r="F18" s="19">
        <f>C18-(Hypothèses!$C$15)*((1+Hypothèses!$C$17/12)^(Hypothèses!$C$16*12)-(1+Hypothèses!$C$17/12)^(13*12))/((1+Hypothèses!$C$17/12)^(Hypothèses!$C$16*12)-1)</f>
        <v/>
      </c>
    </row>
    <row r="19">
      <c r="B19" s="28" t="n">
        <v>14</v>
      </c>
      <c r="C19" s="19">
        <f>C18-F18</f>
        <v/>
      </c>
      <c r="D19" s="19">
        <f>$C$3*12</f>
        <v/>
      </c>
      <c r="E19" s="19">
        <f>D19-F19</f>
        <v/>
      </c>
      <c r="F19" s="19">
        <f>C19-(Hypothèses!$C$15)*((1+Hypothèses!$C$17/12)^(Hypothèses!$C$16*12)-(1+Hypothèses!$C$17/12)^(14*12))/((1+Hypothèses!$C$17/12)^(Hypothèses!$C$16*12)-1)</f>
        <v/>
      </c>
    </row>
    <row r="20">
      <c r="B20" s="28" t="n">
        <v>15</v>
      </c>
      <c r="C20" s="19">
        <f>C19-F19</f>
        <v/>
      </c>
      <c r="D20" s="19">
        <f>$C$3*12</f>
        <v/>
      </c>
      <c r="E20" s="19">
        <f>D20-F20</f>
        <v/>
      </c>
      <c r="F20" s="19">
        <f>C20-(Hypothèses!$C$15)*((1+Hypothèses!$C$17/12)^(Hypothèses!$C$16*12)-(1+Hypothèses!$C$17/12)^(15*12))/((1+Hypothèses!$C$17/12)^(Hypothèses!$C$16*12)-1)</f>
        <v/>
      </c>
    </row>
    <row r="21">
      <c r="B21" s="28" t="n">
        <v>16</v>
      </c>
      <c r="C21" s="19">
        <f>C20-F20</f>
        <v/>
      </c>
      <c r="D21" s="19">
        <f>$C$3*12</f>
        <v/>
      </c>
      <c r="E21" s="19">
        <f>D21-F21</f>
        <v/>
      </c>
      <c r="F21" s="19">
        <f>C21-(Hypothèses!$C$15)*((1+Hypothèses!$C$17/12)^(Hypothèses!$C$16*12)-(1+Hypothèses!$C$17/12)^(16*12))/((1+Hypothèses!$C$17/12)^(Hypothèses!$C$16*12)-1)</f>
        <v/>
      </c>
    </row>
    <row r="22">
      <c r="B22" s="28" t="n">
        <v>17</v>
      </c>
      <c r="C22" s="19">
        <f>C21-F21</f>
        <v/>
      </c>
      <c r="D22" s="19">
        <f>$C$3*12</f>
        <v/>
      </c>
      <c r="E22" s="19">
        <f>D22-F22</f>
        <v/>
      </c>
      <c r="F22" s="19">
        <f>C22-(Hypothèses!$C$15)*((1+Hypothèses!$C$17/12)^(Hypothèses!$C$16*12)-(1+Hypothèses!$C$17/12)^(17*12))/((1+Hypothèses!$C$17/12)^(Hypothèses!$C$16*12)-1)</f>
        <v/>
      </c>
    </row>
    <row r="23">
      <c r="B23" s="28" t="n">
        <v>18</v>
      </c>
      <c r="C23" s="19">
        <f>C22-F22</f>
        <v/>
      </c>
      <c r="D23" s="19">
        <f>$C$3*12</f>
        <v/>
      </c>
      <c r="E23" s="19">
        <f>D23-F23</f>
        <v/>
      </c>
      <c r="F23" s="19">
        <f>C23-(Hypothèses!$C$15)*((1+Hypothèses!$C$17/12)^(Hypothèses!$C$16*12)-(1+Hypothèses!$C$17/12)^(18*12))/((1+Hypothèses!$C$17/12)^(Hypothèses!$C$16*12)-1)</f>
        <v/>
      </c>
    </row>
    <row r="24">
      <c r="B24" s="28" t="n">
        <v>19</v>
      </c>
      <c r="C24" s="19">
        <f>C23-F23</f>
        <v/>
      </c>
      <c r="D24" s="19">
        <f>$C$3*12</f>
        <v/>
      </c>
      <c r="E24" s="19">
        <f>D24-F24</f>
        <v/>
      </c>
      <c r="F24" s="19">
        <f>C24-(Hypothèses!$C$15)*((1+Hypothèses!$C$17/12)^(Hypothèses!$C$16*12)-(1+Hypothèses!$C$17/12)^(19*12))/((1+Hypothèses!$C$17/12)^(Hypothèses!$C$16*12)-1)</f>
        <v/>
      </c>
    </row>
    <row r="25">
      <c r="B25" s="28" t="n">
        <v>20</v>
      </c>
      <c r="C25" s="19">
        <f>C24-F24</f>
        <v/>
      </c>
      <c r="D25" s="19">
        <f>$C$3*12</f>
        <v/>
      </c>
      <c r="E25" s="19">
        <f>D25-F25</f>
        <v/>
      </c>
      <c r="F25" s="19">
        <f>C25-(Hypothèses!$C$15)*((1+Hypothèses!$C$17/12)^(Hypothèses!$C$16*12)-(1+Hypothèses!$C$17/12)^(20*12))/((1+Hypothèses!$C$17/12)^(Hypothèses!$C$16*12)-1)</f>
        <v/>
      </c>
    </row>
    <row r="26">
      <c r="B26" s="5" t="inlineStr">
        <is>
          <t>TOTAL</t>
        </is>
      </c>
      <c r="C26" s="20" t="inlineStr"/>
      <c r="D26" s="20">
        <f>SUM(D6:D25)</f>
        <v/>
      </c>
      <c r="E26" s="20">
        <f>SUM(E6:E25)</f>
        <v/>
      </c>
      <c r="F26" s="20">
        <f>SUM(F6:F25)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2026-06-02T12:24:35Z</dcterms:created>
  <dcterms:modified xmlns:dcterms="http://purl.org/dc/terms/" xmlns:xsi="http://www.w3.org/2001/XMLSchema-instance" xsi:type="dcterms:W3CDTF">2026-06-02T12:24:35Z</dcterms:modified>
</cp:coreProperties>
</file>
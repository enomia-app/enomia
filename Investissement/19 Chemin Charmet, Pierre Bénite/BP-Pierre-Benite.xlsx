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5"/>
    <sheet name="Synthèse" sheetId="2" r:id="rId6"/>
    <sheet name="Hypothèses" sheetId="3" r:id="rId7"/>
    <sheet name="Plan 1 (5 lots)" sheetId="4" r:id="rId8"/>
    <sheet name="Projection 3 ans" sheetId="5" r:id="rId9"/>
    <sheet name="Amortissement" sheetId="6" r:id="rId10"/>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<sst xmlns="http://schemas.openxmlformats.org/spreadsheetml/2006/main" uniqueCount="131">
  <si>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</si>
  <si>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</si>
  <si>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</si>
  <si>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</si>
  <si>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Synthèse</t>
  </si>
  <si>
    <t>Tableau 1</t>
  </si>
  <si>
    <t>Pierre-Bénite — Synthèse projet</t>
  </si>
  <si>
    <t>Compromis signé 04/05/2026 — Marc Chenut &amp; Antoine Bocquet</t>
  </si>
  <si>
    <t>Maison ~300 m² limite Saint-Genis-Laval — division en 5 lots (3 T3 + 2 T2) rénovés Haut de gamme</t>
  </si>
  <si>
    <t>PLAN A — Location courte durée (LCD)</t>
  </si>
  <si>
    <t>Revenus NET de charges / mois</t>
  </si>
  <si>
    <t>Mensualité prêt</t>
  </si>
  <si>
    <t>CASH FLOW AVANT IMPÔT / mois</t>
  </si>
  <si>
    <t>PLAN B — Location longue durée (meublée)</t>
  </si>
  <si>
    <t>Loyer T2 — 2 lots × 850 €/mois</t>
  </si>
  <si>
    <t>Loyer T3 — 3 lots × 1 250 €/mois</t>
  </si>
  <si>
    <t>Total loyers / mois</t>
  </si>
  <si>
    <t>Charges propriétaire (TF + PNO + entretien) / mois</t>
  </si>
  <si>
    <t>PLAN C — Revente immédiate post-travaux</t>
  </si>
  <si>
    <t>Coût total opération (achat + travaux + meubles + frais)</t>
  </si>
  <si>
    <t>Valeur revente (300 m² × 4 200 €/m²)</t>
  </si>
  <si>
    <t xml:space="preserve">    Prix constaté DVF appartement Saint-Genis-Laval rénové HG : 4 200 €/m²</t>
  </si>
  <si>
    <t>MARGE (revente − coût)</t>
  </si>
  <si>
    <t xml:space="preserve">    soit</t>
  </si>
  <si>
    <t>Financement</t>
  </si>
  <si>
    <t>Coût total opération</t>
  </si>
  <si>
    <t>Apport</t>
  </si>
  <si>
    <t>Emprunt sollicité</t>
  </si>
  <si>
    <t>Durée — Taux</t>
  </si>
  <si>
    <t>3,8% - 20 ans</t>
  </si>
  <si>
    <t>Mensualité</t>
  </si>
  <si>
    <t>Différé partiel demandé</t>
  </si>
  <si>
    <t>18 mois (intérêts seuls)</t>
  </si>
  <si>
    <t>Hypothèses</t>
  </si>
  <si>
    <t>Hypothèses — BP Pierre-Bénite</t>
  </si>
  <si>
    <t>Acquisition</t>
  </si>
  <si>
    <t>Poste</t>
  </si>
  <si>
    <t>Valeur</t>
  </si>
  <si>
    <t>Prix d'achat</t>
  </si>
  <si>
    <t>Notaire (%)</t>
  </si>
  <si>
    <t>Notaire (€)</t>
  </si>
  <si>
    <t>Travaux</t>
  </si>
  <si>
    <t>Ameublement</t>
  </si>
  <si>
    <t>Frais bancaires</t>
  </si>
  <si>
    <t>TOTAL opération</t>
  </si>
  <si>
    <t>Emprunt</t>
  </si>
  <si>
    <t>Durée emprunt (années)</t>
  </si>
  <si>
    <t>Taux d'intérêt</t>
  </si>
  <si>
    <t>Différé (mois)</t>
  </si>
  <si>
    <t>Composition &amp; revenus (NET de commissions OTA)</t>
  </si>
  <si>
    <t>Type</t>
  </si>
  <si>
    <t>Nb lots</t>
  </si>
  <si>
    <t>Prix net/nuit</t>
  </si>
  <si>
    <t>T2</t>
  </si>
  <si>
    <t>T3</t>
  </si>
  <si>
    <t>Total lots</t>
  </si>
  <si>
    <t>Nuits/mois — T2</t>
  </si>
  <si>
    <t>Nuits/mois — T3</t>
  </si>
  <si>
    <t>Charges courantes (par lot par mois)</t>
  </si>
  <si>
    <t>Électricité / mois</t>
  </si>
  <si>
    <t>Internet &amp; TV / mois</t>
  </si>
  <si>
    <t>Logiciel gestion / mois</t>
  </si>
  <si>
    <t>Consommables / mois</t>
  </si>
  <si>
    <t>Ménage / séjour</t>
  </si>
  <si>
    <t>Blanchisserie / séjour</t>
  </si>
  <si>
    <t>Nuits / séjour (occupation)</t>
  </si>
  <si>
    <t>Charges fixes (totales, mensuelles ou annuelles)</t>
  </si>
  <si>
    <t>Eau / mois (total)</t>
  </si>
  <si>
    <t>Entretien extérieur / mois</t>
  </si>
  <si>
    <t>Entretien mobilier / mois</t>
  </si>
  <si>
    <t>Taxe foncière / an</t>
  </si>
  <si>
    <t>Assurance PNO / lot / an</t>
  </si>
  <si>
    <t>Comptabilité / an</t>
  </si>
  <si>
    <t>Plan B — Location longue durée (meublée, Saint-Genis)</t>
  </si>
  <si>
    <t>Loyer T2 / mois</t>
  </si>
  <si>
    <t>Loyer T3 / mois</t>
  </si>
  <si>
    <t>Revente — Valeur post-rénovation</t>
  </si>
  <si>
    <t>Surface totale (m²)</t>
  </si>
  <si>
    <t>Prix m² revente (HG Saint-Genis)</t>
  </si>
  <si>
    <t>Valeur revente</t>
  </si>
  <si>
    <t>Légende :</t>
  </si>
  <si>
    <t xml:space="preserve">  Bleu = input modifiable</t>
  </si>
  <si>
    <t xml:space="preserve">  Noir = formule calculée</t>
  </si>
  <si>
    <t>Plan 1 (5 lots)</t>
  </si>
  <si>
    <t>Plan 1 — 5 lots (3 T3 + 2 T2) — Régime plein</t>
  </si>
  <si>
    <t>Revenus location courte durée (annuels, NET de commissions OTA)</t>
  </si>
  <si>
    <t>/ mois</t>
  </si>
  <si>
    <t>/ an</t>
  </si>
  <si>
    <t>T2 (2 lots × 75 € × 29 nuits)</t>
  </si>
  <si>
    <t>T3 (3 lots × 115 € × 29 nuits)</t>
  </si>
  <si>
    <t>REVENUS TOTAUX</t>
  </si>
  <si>
    <t>Charges (totales)</t>
  </si>
  <si>
    <t>Électricité</t>
  </si>
  <si>
    <t>Internet &amp; TV</t>
  </si>
  <si>
    <t>Logiciel gestion</t>
  </si>
  <si>
    <t>Consommables</t>
  </si>
  <si>
    <t>Eau</t>
  </si>
  <si>
    <t>Entretien extérieur</t>
  </si>
  <si>
    <t>Entretien mobilier</t>
  </si>
  <si>
    <t>Ménage + blanchisserie T2</t>
  </si>
  <si>
    <t>Ménage + blanchisserie T3</t>
  </si>
  <si>
    <t>Taxe foncière (annuelle)</t>
  </si>
  <si>
    <t>Assurance PNO (par lot)</t>
  </si>
  <si>
    <t>Comptabilité</t>
  </si>
  <si>
    <t>CHARGES TOTALES</t>
  </si>
  <si>
    <t>Résultat opérationnel</t>
  </si>
  <si>
    <t>Revenus NET de charges</t>
  </si>
  <si>
    <t>Mensualité prêt (capital + intérêts)</t>
  </si>
  <si>
    <t>CASH FLOW AVANT IMPÔT</t>
  </si>
  <si>
    <t>Projection 3 ans</t>
  </si>
  <si>
    <t>Projection 3 ans — Phase travaux + Montée + Régime plein</t>
  </si>
  <si>
    <t>Hypothèses : Acte M0 → Travaux M1-M6 (revenus=0) → Montée M7-M9 (50/75/90 %) → Plein M10+</t>
  </si>
  <si>
    <t>Différé partiel 18 mois (intérêts seuls jusqu'à M+18). An 1 = 12 mois intérêts seuls. An 2 = 6 mois intérêts seuls + 6 mois mensualité pleine. An 3 = 12 mois mensualité pleine.</t>
  </si>
  <si>
    <t>An 1</t>
  </si>
  <si>
    <t>An 2</t>
  </si>
  <si>
    <t>An 3</t>
  </si>
  <si>
    <t>Revenus location courte durée</t>
  </si>
  <si>
    <t>− Charges totales</t>
  </si>
  <si>
    <t>EBE</t>
  </si>
  <si>
    <t>− Annuité prêt (différé sur an 1-2)</t>
  </si>
  <si>
    <t xml:space="preserve">Cashflow Annuel </t>
  </si>
  <si>
    <t xml:space="preserve">    Cash flow / mois moyen</t>
  </si>
  <si>
    <t>Cash flow CUMULÉ (depuis acte)</t>
  </si>
  <si>
    <t>Amortissement</t>
  </si>
  <si>
    <t>Amortissement annuel emprunt</t>
  </si>
  <si>
    <t>Année</t>
  </si>
  <si>
    <t>Capital début</t>
  </si>
  <si>
    <t>Annuité (× 12)</t>
  </si>
  <si>
    <t>Intérêts an</t>
  </si>
  <si>
    <t>Capital remboursé</t>
  </si>
  <si>
    <t>TOTAL</t>
  </si>
</sst>
</file>

<file path=xl/styles.xml><?xml version="1.0" encoding="utf-8"?>
<styleSheet xmlns="http://schemas.openxmlformats.org/spreadsheetml/2006/main">
  <numFmts count="5">
    <numFmt numFmtId="0" formatCode="General"/>
    <numFmt numFmtId="59" formatCode="#,##0&quot; €&quot;;(#,##0&quot; €)&quot;;&quot;--&quot;"/>
    <numFmt numFmtId="60" formatCode="0.0%"/>
    <numFmt numFmtId="61" formatCode="#,##0.00&quot; €&quot;;(#,##0.00&quot; €)&quot;;&quot;--&quot;"/>
    <numFmt numFmtId="62" formatCode="#,##0.0;(#,##0.0);&quot;--&quot;"/>
  </numFmts>
  <fonts count="2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12"/>
      <name val="Arial"/>
    </font>
    <font>
      <sz val="10"/>
      <color indexed="8"/>
      <name val="Arial"/>
    </font>
    <font>
      <b val="1"/>
      <sz val="13"/>
      <color indexed="12"/>
      <name val="Arial"/>
    </font>
    <font>
      <b val="1"/>
      <sz val="11"/>
      <color indexed="8"/>
      <name val="Arial"/>
    </font>
    <font>
      <sz val="11"/>
      <color indexed="17"/>
      <name val="Arial"/>
    </font>
    <font>
      <sz val="11"/>
      <color indexed="8"/>
      <name val="Arial"/>
    </font>
    <font>
      <sz val="11"/>
      <color indexed="19"/>
      <name val="Arial"/>
    </font>
    <font>
      <b val="1"/>
      <sz val="11"/>
      <color indexed="21"/>
      <name val="Arial"/>
    </font>
    <font>
      <b val="1"/>
      <sz val="10"/>
      <color indexed="8"/>
      <name val="Arial"/>
    </font>
    <font>
      <sz val="10"/>
      <color indexed="11"/>
      <name val="Arial"/>
    </font>
    <font>
      <sz val="10"/>
      <color indexed="17"/>
      <name val="Arial"/>
    </font>
    <font>
      <sz val="10"/>
      <color indexed="19"/>
      <name val="Arial"/>
    </font>
    <font>
      <sz val="10"/>
      <color indexed="21"/>
      <name val="Arial"/>
    </font>
    <font>
      <sz val="10"/>
      <color indexed="8"/>
      <name val="Calibri"/>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s>
  <borders count="25">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style="thin">
        <color indexed="15"/>
      </bottom>
      <diagonal/>
    </border>
    <border>
      <left/>
      <right/>
      <top/>
      <bottom/>
      <diagonal/>
    </border>
    <border>
      <left/>
      <right style="thin">
        <color indexed="14"/>
      </right>
      <top/>
      <bottom/>
      <diagonal/>
    </border>
    <border>
      <left style="thin">
        <color indexed="14"/>
      </left>
      <right style="thin">
        <color indexed="15"/>
      </right>
      <top/>
      <bottom/>
      <diagonal/>
    </border>
    <border>
      <left style="thin">
        <color indexed="15"/>
      </left>
      <right style="thin">
        <color indexed="15"/>
      </right>
      <top style="thin">
        <color indexed="15"/>
      </top>
      <bottom style="thin">
        <color indexed="15"/>
      </bottom>
      <diagonal/>
    </border>
    <border>
      <left style="thin">
        <color indexed="15"/>
      </left>
      <right/>
      <top/>
      <bottom/>
      <diagonal/>
    </border>
    <border>
      <left/>
      <right/>
      <top style="thin">
        <color indexed="15"/>
      </top>
      <bottom/>
      <diagonal/>
    </border>
    <border>
      <left style="thin">
        <color indexed="14"/>
      </left>
      <right style="thin">
        <color indexed="15"/>
      </right>
      <top/>
      <bottom style="thin">
        <color indexed="14"/>
      </bottom>
      <diagonal/>
    </border>
    <border>
      <left style="thin">
        <color indexed="15"/>
      </left>
      <right/>
      <top/>
      <bottom style="thin">
        <color indexed="14"/>
      </bottom>
      <diagonal/>
    </border>
    <border>
      <left/>
      <right style="thin">
        <color indexed="14"/>
      </right>
      <top/>
      <bottom style="thin">
        <color indexed="14"/>
      </bottom>
      <diagonal/>
    </border>
    <border>
      <left style="thin">
        <color indexed="15"/>
      </left>
      <right style="thin">
        <color indexed="14"/>
      </right>
      <top/>
      <bottom/>
      <diagonal/>
    </border>
    <border>
      <left style="thin">
        <color indexed="15"/>
      </left>
      <right/>
      <top style="thin">
        <color indexed="15"/>
      </top>
      <bottom/>
      <diagonal/>
    </border>
    <border>
      <left style="thin">
        <color indexed="14"/>
      </left>
      <right/>
      <top/>
      <bottom style="thin">
        <color indexed="15"/>
      </bottom>
      <diagonal/>
    </border>
    <border>
      <left/>
      <right/>
      <top/>
      <bottom style="thin">
        <color indexed="14"/>
      </bottom>
      <diagonal/>
    </border>
    <border>
      <left style="thin">
        <color indexed="15"/>
      </left>
      <right style="thin">
        <color indexed="14"/>
      </right>
      <top/>
      <bottom style="thin">
        <color indexed="14"/>
      </bottom>
      <diagonal/>
    </border>
    <border>
      <left/>
      <right style="thin">
        <color indexed="14"/>
      </right>
      <top/>
      <bottom style="thin">
        <color indexed="15"/>
      </bottom>
      <diagonal/>
    </border>
    <border>
      <left style="thin">
        <color indexed="15"/>
      </left>
      <right/>
      <top style="thin">
        <color indexed="15"/>
      </top>
      <bottom style="thin">
        <color indexed="15"/>
      </bottom>
      <diagonal/>
    </border>
    <border>
      <left/>
      <right/>
      <top style="thin">
        <color indexed="15"/>
      </top>
      <bottom style="thin">
        <color indexed="15"/>
      </bottom>
      <diagonal/>
    </border>
    <border>
      <left/>
      <right style="thin">
        <color indexed="15"/>
      </right>
      <top style="thin">
        <color indexed="15"/>
      </top>
      <bottom style="thin">
        <color indexed="15"/>
      </bottom>
      <diagonal/>
    </border>
    <border>
      <left/>
      <right style="thin">
        <color indexed="14"/>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6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49" fontId="7" fillId="5" borderId="9" applyNumberFormat="1" applyFont="1" applyFill="1" applyBorder="1" applyAlignment="1" applyProtection="0">
      <alignment horizontal="left" vertical="center"/>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49" fontId="8" fillId="6" borderId="4" applyNumberFormat="1" applyFont="1" applyFill="1" applyBorder="1" applyAlignment="1" applyProtection="0">
      <alignment horizontal="left" vertical="center"/>
    </xf>
    <xf numFmtId="49" fontId="9" fillId="5" borderId="9" applyNumberFormat="1" applyFont="1" applyFill="1" applyBorder="1" applyAlignment="1" applyProtection="0">
      <alignment horizontal="left" vertical="center"/>
    </xf>
    <xf numFmtId="59" fontId="10" fillId="7" borderId="9" applyNumberFormat="1" applyFont="1" applyFill="1" applyBorder="1" applyAlignment="1" applyProtection="0">
      <alignment horizontal="right" vertical="center"/>
    </xf>
    <xf numFmtId="49" fontId="11" fillId="5" borderId="9" applyNumberFormat="1" applyFont="1" applyFill="1" applyBorder="1" applyAlignment="1" applyProtection="0">
      <alignment horizontal="left" vertical="center"/>
    </xf>
    <xf numFmtId="59" fontId="12" fillId="8" borderId="9" applyNumberFormat="1" applyFont="1" applyFill="1" applyBorder="1" applyAlignment="1" applyProtection="0">
      <alignment horizontal="right" vertical="center"/>
    </xf>
    <xf numFmtId="59" fontId="13" fillId="7" borderId="9" applyNumberFormat="1" applyFont="1" applyFill="1" applyBorder="1" applyAlignment="1" applyProtection="0">
      <alignment horizontal="right" vertical="center"/>
    </xf>
    <xf numFmtId="59" fontId="10" fillId="5" borderId="9" applyNumberFormat="1" applyFont="1" applyFill="1" applyBorder="1" applyAlignment="1" applyProtection="0">
      <alignment horizontal="right" vertical="center"/>
    </xf>
    <xf numFmtId="59" fontId="9" fillId="7" borderId="9" applyNumberFormat="1" applyFont="1" applyFill="1" applyBorder="1" applyAlignment="1" applyProtection="0">
      <alignment horizontal="right" vertical="center"/>
    </xf>
    <xf numFmtId="59" fontId="12" fillId="5" borderId="9" applyNumberFormat="1" applyFont="1" applyFill="1" applyBorder="1" applyAlignment="1" applyProtection="0">
      <alignment horizontal="right" vertical="center"/>
    </xf>
    <xf numFmtId="60" fontId="13" fillId="9" borderId="9" applyNumberFormat="1" applyFont="1" applyFill="1" applyBorder="1" applyAlignment="1" applyProtection="0">
      <alignment horizontal="right" vertical="center"/>
    </xf>
    <xf numFmtId="49" fontId="11" fillId="5" borderId="9" applyNumberFormat="1" applyFont="1" applyFill="1" applyBorder="1" applyAlignment="1" applyProtection="0">
      <alignment horizontal="right" vertical="center"/>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49" fontId="14" fillId="10" borderId="9" applyNumberFormat="1" applyFont="1" applyFill="1" applyBorder="1" applyAlignment="1" applyProtection="0">
      <alignment horizontal="left" vertical="center"/>
    </xf>
    <xf numFmtId="49" fontId="14" fillId="10" borderId="9" applyNumberFormat="1" applyFont="1" applyFill="1" applyBorder="1" applyAlignment="1" applyProtection="0">
      <alignment horizontal="center" vertical="center" wrapText="1"/>
    </xf>
    <xf numFmtId="59" fontId="15" fillId="11" borderId="9" applyNumberFormat="1" applyFont="1" applyFill="1" applyBorder="1" applyAlignment="1" applyProtection="0">
      <alignment horizontal="right" vertical="center"/>
    </xf>
    <xf numFmtId="60" fontId="15" fillId="11" borderId="9" applyNumberFormat="1" applyFont="1" applyFill="1" applyBorder="1" applyAlignment="1" applyProtection="0">
      <alignment horizontal="right" vertical="center"/>
    </xf>
    <xf numFmtId="59" fontId="7" fillId="5" borderId="9" applyNumberFormat="1" applyFont="1" applyFill="1" applyBorder="1" applyAlignment="1" applyProtection="0">
      <alignment horizontal="right" vertical="center"/>
    </xf>
    <xf numFmtId="49" fontId="14" fillId="5" borderId="9" applyNumberFormat="1" applyFont="1" applyFill="1" applyBorder="1" applyAlignment="1" applyProtection="0">
      <alignment horizontal="left" vertical="center"/>
    </xf>
    <xf numFmtId="59" fontId="14" fillId="9" borderId="9" applyNumberFormat="1" applyFont="1" applyFill="1" applyBorder="1" applyAlignment="1" applyProtection="0">
      <alignment horizontal="right" vertical="center"/>
    </xf>
    <xf numFmtId="1" fontId="15" fillId="11" borderId="9" applyNumberFormat="1" applyFont="1" applyFill="1" applyBorder="1" applyAlignment="1" applyProtection="0">
      <alignment horizontal="right" vertical="center"/>
    </xf>
    <xf numFmtId="0" fontId="0" borderId="15" applyNumberFormat="0" applyFont="1" applyFill="0" applyBorder="1" applyAlignment="1" applyProtection="0">
      <alignment vertical="bottom"/>
    </xf>
    <xf numFmtId="1" fontId="14" fillId="9" borderId="9" applyNumberFormat="1" applyFont="1" applyFill="1" applyBorder="1" applyAlignment="1" applyProtection="0">
      <alignment horizontal="right" vertical="center"/>
    </xf>
    <xf numFmtId="0" fontId="0" borderId="16" applyNumberFormat="0" applyFont="1" applyFill="0" applyBorder="1" applyAlignment="1" applyProtection="0">
      <alignment vertical="bottom"/>
    </xf>
    <xf numFmtId="61" fontId="15" fillId="11" borderId="9" applyNumberFormat="1" applyFont="1" applyFill="1" applyBorder="1" applyAlignment="1" applyProtection="0">
      <alignment horizontal="right" vertical="center"/>
    </xf>
    <xf numFmtId="62" fontId="15" fillId="11" borderId="9" applyNumberFormat="1" applyFont="1" applyFill="1" applyBorder="1" applyAlignment="1" applyProtection="0">
      <alignment horizontal="right" vertical="center"/>
    </xf>
    <xf numFmtId="0" fontId="0" borderId="17" applyNumberFormat="0" applyFont="1" applyFill="0" applyBorder="1" applyAlignment="1" applyProtection="0">
      <alignment vertical="bottom"/>
    </xf>
    <xf numFmtId="49" fontId="15" fillId="11" borderId="9" applyNumberFormat="1" applyFont="1" applyFill="1" applyBorder="1" applyAlignment="1" applyProtection="0">
      <alignment horizontal="left" vertical="center"/>
    </xf>
    <xf numFmtId="0" fontId="0" borderId="18" applyNumberFormat="0" applyFont="1" applyFill="0" applyBorder="1" applyAlignment="1" applyProtection="0">
      <alignment vertical="bottom"/>
    </xf>
    <xf numFmtId="0" fontId="0" applyNumberFormat="1" applyFont="1" applyFill="0" applyBorder="0" applyAlignment="1" applyProtection="0">
      <alignment vertical="bottom"/>
    </xf>
    <xf numFmtId="59" fontId="16" fillId="5" borderId="9" applyNumberFormat="1" applyFont="1" applyFill="1" applyBorder="1" applyAlignment="1" applyProtection="0">
      <alignment horizontal="right" vertical="center"/>
    </xf>
    <xf numFmtId="59" fontId="7" fillId="7" borderId="9" applyNumberFormat="1" applyFont="1" applyFill="1" applyBorder="1" applyAlignment="1" applyProtection="0">
      <alignment horizontal="right" vertical="center"/>
    </xf>
    <xf numFmtId="59" fontId="17" fillId="5" borderId="9" applyNumberFormat="1" applyFont="1" applyFill="1" applyBorder="1" applyAlignment="1" applyProtection="0">
      <alignment horizontal="right" vertical="center"/>
    </xf>
    <xf numFmtId="59" fontId="18" fillId="7" borderId="9" applyNumberFormat="1" applyFont="1" applyFill="1" applyBorder="1" applyAlignment="1" applyProtection="0">
      <alignment horizontal="right" vertical="center"/>
    </xf>
    <xf numFmtId="0" fontId="0" borderId="19"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0" fontId="19" borderId="22" applyNumberFormat="0" applyFont="1" applyFill="0" applyBorder="1" applyAlignment="1" applyProtection="0">
      <alignment vertical="bottom"/>
    </xf>
    <xf numFmtId="0" fontId="19" borderId="24" applyNumberFormat="0" applyFont="1" applyFill="0" applyBorder="1" applyAlignment="1" applyProtection="0">
      <alignment vertical="bottom"/>
    </xf>
    <xf numFmtId="0" fontId="0" applyNumberFormat="1" applyFont="1" applyFill="0" applyBorder="0" applyAlignment="1" applyProtection="0">
      <alignment vertical="bottom"/>
    </xf>
    <xf numFmtId="1" fontId="7" fillId="5" borderId="9" applyNumberFormat="1"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bfbfbf"/>
      <rgbColor rgb="ff2e75b6"/>
      <rgbColor rgb="ff008000"/>
      <rgbColor rgb="ffc6efce"/>
      <rgbColor rgb="ff9c0006"/>
      <rgbColor rgb="ffffc7ce"/>
      <rgbColor rgb="ff006100"/>
      <rgbColor rgb="fff2f2f2"/>
      <rgbColor rgb="ffddebf7"/>
      <rgbColor rgb="ffffff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33</v>
      </c>
      <c r="C11" s="3"/>
      <c r="D11" s="3"/>
    </row>
    <row r="12">
      <c r="B12" s="4"/>
      <c r="C12" t="s" s="4">
        <v>5</v>
      </c>
      <c r="D12" t="s" s="5">
        <v>33</v>
      </c>
    </row>
    <row r="13">
      <c r="B13" t="s" s="3">
        <v>83</v>
      </c>
      <c r="C13" s="3"/>
      <c r="D13" s="3"/>
    </row>
    <row r="14">
      <c r="B14" s="4"/>
      <c r="C14" t="s" s="4">
        <v>5</v>
      </c>
      <c r="D14" t="s" s="5">
        <v>83</v>
      </c>
    </row>
    <row r="15">
      <c r="B15" t="s" s="3">
        <v>109</v>
      </c>
      <c r="C15" s="3"/>
      <c r="D15" s="3"/>
    </row>
    <row r="16">
      <c r="B16" s="4"/>
      <c r="C16" t="s" s="4">
        <v>5</v>
      </c>
      <c r="D16" t="s" s="5">
        <v>109</v>
      </c>
    </row>
    <row r="17">
      <c r="B17" t="s" s="3">
        <v>123</v>
      </c>
      <c r="C17" s="3"/>
      <c r="D17" s="3"/>
    </row>
    <row r="18">
      <c r="B18" s="4"/>
      <c r="C18" t="s" s="4">
        <v>5</v>
      </c>
      <c r="D18" t="s" s="5">
        <v>123</v>
      </c>
    </row>
  </sheetData>
  <mergeCells count="1">
    <mergeCell ref="B3:D3"/>
  </mergeCells>
  <hyperlinks>
    <hyperlink ref="D10" location="'Synthèse'!R1C1" tooltip="" display="Synthèse"/>
    <hyperlink ref="D12" location="'Hypothèses'!R1C1" tooltip="" display="Hypothèses"/>
    <hyperlink ref="D14" location="'Plan 1 (5 lots)'!R1C1" tooltip="" display="Plan 1 (5 lots)"/>
    <hyperlink ref="D16" location="'Projection 3 ans'!R1C1" tooltip="" display="Projection 3 ans"/>
    <hyperlink ref="D18" location="'Amortissement'!R1C1" tooltip="" display="Amortissement"/>
  </hyperlinks>
</worksheet>
</file>

<file path=xl/worksheets/sheet2.xml><?xml version="1.0" encoding="utf-8"?>
<worksheet xmlns:r="http://schemas.openxmlformats.org/officeDocument/2006/relationships" xmlns="http://schemas.openxmlformats.org/spreadsheetml/2006/main">
  <dimension ref="A1:E32"/>
  <sheetViews>
    <sheetView workbookViewId="0" showGridLines="0" defaultGridColor="1"/>
  </sheetViews>
  <sheetFormatPr defaultColWidth="8.83333" defaultRowHeight="15" customHeight="1" outlineLevelRow="0" outlineLevelCol="0"/>
  <cols>
    <col min="1" max="1" width="4" style="6" customWidth="1"/>
    <col min="2" max="2" width="46" style="6" customWidth="1"/>
    <col min="3" max="3" width="66.4531" style="6" customWidth="1"/>
    <col min="4" max="5" width="8.85156" style="6" customWidth="1"/>
    <col min="6" max="16384" width="8.85156" style="6" customWidth="1"/>
  </cols>
  <sheetData>
    <row r="1" ht="30" customHeight="1">
      <c r="A1" t="s" s="7">
        <v>6</v>
      </c>
      <c r="B1" s="8"/>
      <c r="C1" s="8"/>
      <c r="D1" s="8"/>
      <c r="E1" s="9"/>
    </row>
    <row r="2" ht="13.55" customHeight="1">
      <c r="A2" s="10"/>
      <c r="B2" s="11"/>
      <c r="C2" s="11"/>
      <c r="D2" s="12"/>
      <c r="E2" s="13"/>
    </row>
    <row r="3" ht="13.65" customHeight="1">
      <c r="A3" s="14"/>
      <c r="B3" t="s" s="15">
        <v>7</v>
      </c>
      <c r="C3" s="16"/>
      <c r="D3" s="17"/>
      <c r="E3" s="13"/>
    </row>
    <row r="4" ht="13.65" customHeight="1">
      <c r="A4" s="14"/>
      <c r="B4" t="s" s="15">
        <v>8</v>
      </c>
      <c r="C4" s="16"/>
      <c r="D4" s="17"/>
      <c r="E4" s="13"/>
    </row>
    <row r="5" ht="13.55" customHeight="1">
      <c r="A5" s="10"/>
      <c r="B5" s="18"/>
      <c r="C5" s="18"/>
      <c r="D5" s="12"/>
      <c r="E5" s="13"/>
    </row>
    <row r="6" ht="22" customHeight="1">
      <c r="A6" t="s" s="19">
        <v>9</v>
      </c>
      <c r="B6" s="11"/>
      <c r="C6" s="11"/>
      <c r="D6" s="12"/>
      <c r="E6" s="13"/>
    </row>
    <row r="7" ht="17.65" customHeight="1">
      <c r="A7" s="14"/>
      <c r="B7" t="s" s="20">
        <v>10</v>
      </c>
      <c r="C7" s="21" cm="1">
        <f t="array" ref="C7">'Plan 1 (5 lots)'!C26</f>
        <v>10712.1111111111</v>
      </c>
      <c r="D7" s="17"/>
      <c r="E7" s="13"/>
    </row>
    <row r="8" ht="17.65" customHeight="1">
      <c r="A8" s="14"/>
      <c r="B8" t="s" s="22">
        <v>11</v>
      </c>
      <c r="C8" s="23" cm="1">
        <f t="array" ref="C8">-'Plan 1 (5 lots)'!C27</f>
        <v>-3501.502866633760</v>
      </c>
      <c r="D8" s="17"/>
      <c r="E8" s="13"/>
    </row>
    <row r="9" ht="17.65" customHeight="1">
      <c r="A9" s="14"/>
      <c r="B9" t="s" s="20">
        <v>12</v>
      </c>
      <c r="C9" s="24" cm="1">
        <f t="array" ref="C9">C7+C8</f>
        <v>7210.608244477340</v>
      </c>
      <c r="D9" s="17"/>
      <c r="E9" s="13"/>
    </row>
    <row r="10" ht="17.65" customHeight="1">
      <c r="A10" s="10"/>
      <c r="B10" s="18"/>
      <c r="C10" s="18"/>
      <c r="D10" s="12"/>
      <c r="E10" s="13"/>
    </row>
    <row r="11" ht="22" customHeight="1">
      <c r="A11" t="s" s="19">
        <v>13</v>
      </c>
      <c r="B11" s="11"/>
      <c r="C11" s="11"/>
      <c r="D11" s="12"/>
      <c r="E11" s="13"/>
    </row>
    <row r="12" ht="17.65" customHeight="1">
      <c r="A12" s="14"/>
      <c r="B12" t="s" s="22">
        <v>14</v>
      </c>
      <c r="C12" s="25" cm="1">
        <f t="array" ref="C12">'Hypothèses'!$C$22*'Hypothèses'!$C$47</f>
        <v>1700</v>
      </c>
      <c r="D12" s="17"/>
      <c r="E12" s="13"/>
    </row>
    <row r="13" ht="17.65" customHeight="1">
      <c r="A13" s="14"/>
      <c r="B13" t="s" s="22">
        <v>15</v>
      </c>
      <c r="C13" s="25" cm="1">
        <f t="array" ref="C13">'Hypothèses'!$C$23*'Hypothèses'!$C$48</f>
        <v>3750</v>
      </c>
      <c r="D13" s="17"/>
      <c r="E13" s="13"/>
    </row>
    <row r="14" ht="17.65" customHeight="1">
      <c r="A14" s="14"/>
      <c r="B14" t="s" s="20">
        <v>16</v>
      </c>
      <c r="C14" s="26" cm="1">
        <f t="array" ref="C14">C12+C13</f>
        <v>5450</v>
      </c>
      <c r="D14" s="17"/>
      <c r="E14" s="13"/>
    </row>
    <row r="15" ht="17.65" customHeight="1">
      <c r="A15" s="14"/>
      <c r="B15" t="s" s="22">
        <v>17</v>
      </c>
      <c r="C15" s="27" cm="1">
        <f t="array" ref="C15">-('Hypothèses'!$C$42+'Hypothèses'!$C$24*'Hypothèses'!$C$43)/12-'Hypothèses'!$C$40-'Hypothèses'!$C$41</f>
        <v>-579.166666666667</v>
      </c>
      <c r="D15" s="17"/>
      <c r="E15" s="13"/>
    </row>
    <row r="16" ht="17.65" customHeight="1">
      <c r="A16" s="14"/>
      <c r="B16" t="s" s="22">
        <v>11</v>
      </c>
      <c r="C16" s="23" cm="1">
        <f t="array" ref="C16">-'Plan 1 (5 lots)'!C27</f>
        <v>-3501.502866633760</v>
      </c>
      <c r="D16" s="17"/>
      <c r="E16" s="13"/>
    </row>
    <row r="17" ht="17.65" customHeight="1">
      <c r="A17" s="14"/>
      <c r="B17" t="s" s="20">
        <v>12</v>
      </c>
      <c r="C17" s="24" cm="1">
        <f t="array" ref="C17">C14+C15+C16</f>
        <v>1369.330466699570</v>
      </c>
      <c r="D17" s="17"/>
      <c r="E17" s="13"/>
    </row>
    <row r="18" ht="13.55" customHeight="1">
      <c r="A18" s="10"/>
      <c r="B18" s="18"/>
      <c r="C18" s="18"/>
      <c r="D18" s="12"/>
      <c r="E18" s="13"/>
    </row>
    <row r="19" ht="22" customHeight="1">
      <c r="A19" t="s" s="19">
        <v>18</v>
      </c>
      <c r="B19" s="11"/>
      <c r="C19" s="11"/>
      <c r="D19" s="12"/>
      <c r="E19" s="13"/>
    </row>
    <row r="20" ht="17.65" customHeight="1">
      <c r="A20" s="14"/>
      <c r="B20" t="s" s="22">
        <v>19</v>
      </c>
      <c r="C20" s="25" cm="1">
        <f t="array" ref="C20">'Hypothèses'!$C$11</f>
        <v>738000</v>
      </c>
      <c r="D20" s="17"/>
      <c r="E20" s="13"/>
    </row>
    <row r="21" ht="17.65" customHeight="1">
      <c r="A21" s="14"/>
      <c r="B21" t="s" s="20">
        <v>20</v>
      </c>
      <c r="C21" s="21" cm="1">
        <f t="array" ref="C21">'Hypothèses'!$C$53</f>
        <v>1260000</v>
      </c>
      <c r="D21" s="17"/>
      <c r="E21" s="13"/>
    </row>
    <row r="22" ht="17.65" customHeight="1">
      <c r="A22" s="14"/>
      <c r="B22" t="s" s="22">
        <v>21</v>
      </c>
      <c r="C22" s="16"/>
      <c r="D22" s="17"/>
      <c r="E22" s="13"/>
    </row>
    <row r="23" ht="17.65" customHeight="1">
      <c r="A23" s="14"/>
      <c r="B23" t="s" s="20">
        <v>22</v>
      </c>
      <c r="C23" s="24" cm="1">
        <f t="array" ref="C23">C21-C20</f>
        <v>522000</v>
      </c>
      <c r="D23" s="17"/>
      <c r="E23" s="13"/>
    </row>
    <row r="24" ht="17.65" customHeight="1">
      <c r="A24" s="14"/>
      <c r="B24" t="s" s="20">
        <v>23</v>
      </c>
      <c r="C24" s="28" cm="1">
        <f t="array" ref="C24">(C21-C20)/C20</f>
        <v>0.707317073170732</v>
      </c>
      <c r="D24" s="17"/>
      <c r="E24" s="13"/>
    </row>
    <row r="25" ht="13.55" customHeight="1">
      <c r="A25" s="10"/>
      <c r="B25" s="18"/>
      <c r="C25" s="18"/>
      <c r="D25" s="12"/>
      <c r="E25" s="13"/>
    </row>
    <row r="26" ht="17.55" customHeight="1">
      <c r="A26" t="s" s="19">
        <v>24</v>
      </c>
      <c r="B26" s="11"/>
      <c r="C26" s="11"/>
      <c r="D26" s="12"/>
      <c r="E26" s="13"/>
    </row>
    <row r="27" ht="17.65" customHeight="1">
      <c r="A27" s="14"/>
      <c r="B27" t="s" s="22">
        <v>25</v>
      </c>
      <c r="C27" s="25" cm="1">
        <f t="array" ref="C27">'Hypothèses'!$C$11</f>
        <v>738000</v>
      </c>
      <c r="D27" s="17"/>
      <c r="E27" s="13"/>
    </row>
    <row r="28" ht="17.65" customHeight="1">
      <c r="A28" s="14"/>
      <c r="B28" t="s" s="22">
        <v>26</v>
      </c>
      <c r="C28" s="25" cm="1">
        <f t="array" ref="C28">'Hypothèses'!$C$14</f>
        <v>150000</v>
      </c>
      <c r="D28" s="17"/>
      <c r="E28" s="13"/>
    </row>
    <row r="29" ht="17.65" customHeight="1">
      <c r="A29" s="14"/>
      <c r="B29" t="s" s="20">
        <v>27</v>
      </c>
      <c r="C29" s="21" cm="1">
        <f t="array" ref="C29">'Hypothèses'!$C$15</f>
        <v>588000</v>
      </c>
      <c r="D29" s="17"/>
      <c r="E29" s="13"/>
    </row>
    <row r="30" ht="17.65" customHeight="1">
      <c r="A30" s="14"/>
      <c r="B30" t="s" s="20">
        <v>28</v>
      </c>
      <c r="C30" t="s" s="29">
        <v>29</v>
      </c>
      <c r="D30" s="17"/>
      <c r="E30" s="13"/>
    </row>
    <row r="31" ht="17.65" customHeight="1">
      <c r="A31" s="14"/>
      <c r="B31" t="s" s="22">
        <v>30</v>
      </c>
      <c r="C31" s="25" cm="1">
        <f t="array" ref="C31">'Plan 1 (5 lots)'!C27</f>
        <v>3501.502866633760</v>
      </c>
      <c r="D31" s="17"/>
      <c r="E31" s="13"/>
    </row>
    <row r="32" ht="17.65" customHeight="1">
      <c r="A32" s="30"/>
      <c r="B32" t="s" s="22">
        <v>31</v>
      </c>
      <c r="C32" t="str" s="29" cm="1">
        <f t="array" ref="C32">'Hypothèses'!$C$18&amp;" mois (intérêts seuls)"</f>
        <v>18 mois (intérêts seuls)</v>
      </c>
      <c r="D32" s="31"/>
      <c r="E32" s="32"/>
    </row>
  </sheetData>
  <mergeCells count="8">
    <mergeCell ref="A19:C19"/>
    <mergeCell ref="A11:C11"/>
    <mergeCell ref="A1:C1"/>
    <mergeCell ref="B3:C3"/>
    <mergeCell ref="A6:C6"/>
    <mergeCell ref="B22:C22"/>
    <mergeCell ref="A26:C26"/>
    <mergeCell ref="B4:C4"/>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57"/>
  <sheetViews>
    <sheetView workbookViewId="0" showGridLines="0" defaultGridColor="1"/>
  </sheetViews>
  <sheetFormatPr defaultColWidth="8.83333" defaultRowHeight="15" customHeight="1" outlineLevelRow="0" outlineLevelCol="0"/>
  <cols>
    <col min="1" max="1" width="4" style="33" customWidth="1"/>
    <col min="2" max="2" width="42" style="33" customWidth="1"/>
    <col min="3" max="4" width="18" style="33" customWidth="1"/>
    <col min="5" max="5" width="8.85156" style="33" customWidth="1"/>
    <col min="6" max="16384" width="8.85156" style="33" customWidth="1"/>
  </cols>
  <sheetData>
    <row r="1" ht="30" customHeight="1">
      <c r="A1" t="s" s="7">
        <v>34</v>
      </c>
      <c r="B1" s="8"/>
      <c r="C1" s="8"/>
      <c r="D1" s="8"/>
      <c r="E1" s="9"/>
    </row>
    <row r="2" ht="13.55" customHeight="1">
      <c r="A2" s="10"/>
      <c r="B2" s="12"/>
      <c r="C2" s="12"/>
      <c r="D2" s="12"/>
      <c r="E2" s="13"/>
    </row>
    <row r="3" ht="22" customHeight="1">
      <c r="A3" t="s" s="19">
        <v>35</v>
      </c>
      <c r="B3" s="11"/>
      <c r="C3" s="11"/>
      <c r="D3" s="12"/>
      <c r="E3" s="13"/>
    </row>
    <row r="4" ht="13.65" customHeight="1">
      <c r="A4" s="14"/>
      <c r="B4" t="s" s="34">
        <v>36</v>
      </c>
      <c r="C4" t="s" s="35">
        <v>37</v>
      </c>
      <c r="D4" s="17"/>
      <c r="E4" s="13"/>
    </row>
    <row r="5" ht="13.65" customHeight="1">
      <c r="A5" s="14"/>
      <c r="B5" t="s" s="15">
        <v>38</v>
      </c>
      <c r="C5" s="36">
        <v>350000</v>
      </c>
      <c r="D5" s="17"/>
      <c r="E5" s="13"/>
    </row>
    <row r="6" ht="13.65" customHeight="1">
      <c r="A6" s="14"/>
      <c r="B6" t="s" s="15">
        <v>39</v>
      </c>
      <c r="C6" s="37">
        <v>0.08</v>
      </c>
      <c r="D6" s="17"/>
      <c r="E6" s="13"/>
    </row>
    <row r="7" ht="13.65" customHeight="1">
      <c r="A7" s="14"/>
      <c r="B7" t="s" s="15">
        <v>40</v>
      </c>
      <c r="C7" s="38" cm="1">
        <f t="array" ref="C7">C5*C6</f>
        <v>28000</v>
      </c>
      <c r="D7" s="17"/>
      <c r="E7" s="13"/>
    </row>
    <row r="8" ht="13.65" customHeight="1">
      <c r="A8" s="14"/>
      <c r="B8" t="s" s="15">
        <v>41</v>
      </c>
      <c r="C8" s="36">
        <v>300000</v>
      </c>
      <c r="D8" s="17"/>
      <c r="E8" s="13"/>
    </row>
    <row r="9" ht="13.65" customHeight="1">
      <c r="A9" s="14"/>
      <c r="B9" t="s" s="15">
        <v>42</v>
      </c>
      <c r="C9" s="36">
        <v>50000</v>
      </c>
      <c r="D9" s="17"/>
      <c r="E9" s="13"/>
    </row>
    <row r="10" ht="13.65" customHeight="1">
      <c r="A10" s="14"/>
      <c r="B10" t="s" s="15">
        <v>43</v>
      </c>
      <c r="C10" s="36">
        <v>10000</v>
      </c>
      <c r="D10" s="17"/>
      <c r="E10" s="13"/>
    </row>
    <row r="11" ht="13.65" customHeight="1">
      <c r="A11" s="14"/>
      <c r="B11" t="s" s="39">
        <v>44</v>
      </c>
      <c r="C11" s="40" cm="1">
        <f t="array" ref="C11">SUM(C5,C7,C8,C9,C10)</f>
        <v>738000</v>
      </c>
      <c r="D11" s="17"/>
      <c r="E11" s="13"/>
    </row>
    <row r="12" ht="13.55" customHeight="1">
      <c r="A12" s="10"/>
      <c r="B12" s="18"/>
      <c r="C12" s="18"/>
      <c r="D12" s="12"/>
      <c r="E12" s="13"/>
    </row>
    <row r="13" ht="22" customHeight="1">
      <c r="A13" t="s" s="19">
        <v>24</v>
      </c>
      <c r="B13" s="11"/>
      <c r="C13" s="11"/>
      <c r="D13" s="12"/>
      <c r="E13" s="13"/>
    </row>
    <row r="14" ht="13.65" customHeight="1">
      <c r="A14" s="14"/>
      <c r="B14" t="s" s="15">
        <v>26</v>
      </c>
      <c r="C14" s="36">
        <v>150000</v>
      </c>
      <c r="D14" s="17"/>
      <c r="E14" s="13"/>
    </row>
    <row r="15" ht="13.65" customHeight="1">
      <c r="A15" s="14"/>
      <c r="B15" t="s" s="39">
        <v>45</v>
      </c>
      <c r="C15" s="40" cm="1">
        <f t="array" ref="C15">C11-C14</f>
        <v>588000</v>
      </c>
      <c r="D15" s="17"/>
      <c r="E15" s="13"/>
    </row>
    <row r="16" ht="13.65" customHeight="1">
      <c r="A16" s="14"/>
      <c r="B16" t="s" s="15">
        <v>46</v>
      </c>
      <c r="C16" s="41">
        <v>20</v>
      </c>
      <c r="D16" s="17"/>
      <c r="E16" s="13"/>
    </row>
    <row r="17" ht="13.65" customHeight="1">
      <c r="A17" s="14"/>
      <c r="B17" t="s" s="15">
        <v>47</v>
      </c>
      <c r="C17" s="37">
        <v>0.038</v>
      </c>
      <c r="D17" s="17"/>
      <c r="E17" s="13"/>
    </row>
    <row r="18" ht="13.65" customHeight="1">
      <c r="A18" s="14"/>
      <c r="B18" t="s" s="15">
        <v>48</v>
      </c>
      <c r="C18" s="41">
        <v>18</v>
      </c>
      <c r="D18" s="17"/>
      <c r="E18" s="13"/>
    </row>
    <row r="19" ht="13.55" customHeight="1">
      <c r="A19" s="10"/>
      <c r="B19" s="18"/>
      <c r="C19" s="18"/>
      <c r="D19" s="12"/>
      <c r="E19" s="13"/>
    </row>
    <row r="20" ht="22" customHeight="1">
      <c r="A20" t="s" s="19">
        <v>49</v>
      </c>
      <c r="B20" s="11"/>
      <c r="C20" s="11"/>
      <c r="D20" s="11"/>
      <c r="E20" s="13"/>
    </row>
    <row r="21" ht="13.65" customHeight="1">
      <c r="A21" s="14"/>
      <c r="B21" t="s" s="34">
        <v>50</v>
      </c>
      <c r="C21" t="s" s="35">
        <v>51</v>
      </c>
      <c r="D21" t="s" s="35">
        <v>52</v>
      </c>
      <c r="E21" s="42"/>
    </row>
    <row r="22" ht="13.65" customHeight="1">
      <c r="A22" s="14"/>
      <c r="B22" t="s" s="15">
        <v>53</v>
      </c>
      <c r="C22" s="41">
        <v>2</v>
      </c>
      <c r="D22" s="36">
        <v>75</v>
      </c>
      <c r="E22" s="42"/>
    </row>
    <row r="23" ht="13.65" customHeight="1">
      <c r="A23" s="14"/>
      <c r="B23" t="s" s="15">
        <v>54</v>
      </c>
      <c r="C23" s="41">
        <v>3</v>
      </c>
      <c r="D23" s="36">
        <v>115</v>
      </c>
      <c r="E23" s="42"/>
    </row>
    <row r="24" ht="13.65" customHeight="1">
      <c r="A24" s="14"/>
      <c r="B24" t="s" s="39">
        <v>55</v>
      </c>
      <c r="C24" s="43" cm="1">
        <f t="array" ref="C24">SUM(C22:C23)</f>
        <v>5</v>
      </c>
      <c r="D24" s="44"/>
      <c r="E24" s="13"/>
    </row>
    <row r="25" ht="13.65" customHeight="1">
      <c r="A25" s="14"/>
      <c r="B25" t="s" s="15">
        <v>56</v>
      </c>
      <c r="C25" s="41">
        <v>29</v>
      </c>
      <c r="D25" s="17"/>
      <c r="E25" s="13"/>
    </row>
    <row r="26" ht="13.65" customHeight="1">
      <c r="A26" s="14"/>
      <c r="B26" t="s" s="15">
        <v>57</v>
      </c>
      <c r="C26" s="41">
        <v>29</v>
      </c>
      <c r="D26" s="17"/>
      <c r="E26" s="13"/>
    </row>
    <row r="27" ht="13.55" customHeight="1">
      <c r="A27" s="10"/>
      <c r="B27" s="18"/>
      <c r="C27" s="18"/>
      <c r="D27" s="12"/>
      <c r="E27" s="13"/>
    </row>
    <row r="28" ht="22" customHeight="1">
      <c r="A28" t="s" s="19">
        <v>58</v>
      </c>
      <c r="B28" s="11"/>
      <c r="C28" s="11"/>
      <c r="D28" s="11"/>
      <c r="E28" s="13"/>
    </row>
    <row r="29" ht="13.65" customHeight="1">
      <c r="A29" s="14"/>
      <c r="B29" t="s" s="34">
        <v>36</v>
      </c>
      <c r="C29" t="s" s="35">
        <v>53</v>
      </c>
      <c r="D29" t="s" s="35">
        <v>54</v>
      </c>
      <c r="E29" s="42"/>
    </row>
    <row r="30" ht="13.65" customHeight="1">
      <c r="A30" s="14"/>
      <c r="B30" t="s" s="15">
        <v>59</v>
      </c>
      <c r="C30" s="36">
        <v>70</v>
      </c>
      <c r="D30" s="36">
        <v>70</v>
      </c>
      <c r="E30" s="42"/>
    </row>
    <row r="31" ht="13.65" customHeight="1">
      <c r="A31" s="14"/>
      <c r="B31" t="s" s="15">
        <v>60</v>
      </c>
      <c r="C31" s="36">
        <v>15</v>
      </c>
      <c r="D31" s="36">
        <v>15</v>
      </c>
      <c r="E31" s="42"/>
    </row>
    <row r="32" ht="13.65" customHeight="1">
      <c r="A32" s="14"/>
      <c r="B32" t="s" s="15">
        <v>61</v>
      </c>
      <c r="C32" s="36">
        <v>30</v>
      </c>
      <c r="D32" s="36">
        <v>30</v>
      </c>
      <c r="E32" s="42"/>
    </row>
    <row r="33" ht="13.65" customHeight="1">
      <c r="A33" s="14"/>
      <c r="B33" t="s" s="15">
        <v>62</v>
      </c>
      <c r="C33" s="36">
        <v>30</v>
      </c>
      <c r="D33" s="36">
        <v>30</v>
      </c>
      <c r="E33" s="42"/>
    </row>
    <row r="34" ht="13.65" customHeight="1">
      <c r="A34" s="14"/>
      <c r="B34" t="s" s="15">
        <v>63</v>
      </c>
      <c r="C34" s="45">
        <v>17.5</v>
      </c>
      <c r="D34" s="45">
        <v>25</v>
      </c>
      <c r="E34" s="42"/>
    </row>
    <row r="35" ht="13.65" customHeight="1">
      <c r="A35" s="14"/>
      <c r="B35" t="s" s="15">
        <v>64</v>
      </c>
      <c r="C35" s="45">
        <v>15</v>
      </c>
      <c r="D35" s="45">
        <v>18.5</v>
      </c>
      <c r="E35" s="42"/>
    </row>
    <row r="36" ht="13.65" customHeight="1">
      <c r="A36" s="14"/>
      <c r="B36" t="s" s="15">
        <v>65</v>
      </c>
      <c r="C36" s="46">
        <v>1.8</v>
      </c>
      <c r="D36" s="46">
        <v>3</v>
      </c>
      <c r="E36" s="42"/>
    </row>
    <row r="37" ht="13.55" customHeight="1">
      <c r="A37" s="10"/>
      <c r="B37" s="18"/>
      <c r="C37" s="18"/>
      <c r="D37" s="18"/>
      <c r="E37" s="13"/>
    </row>
    <row r="38" ht="22" customHeight="1">
      <c r="A38" t="s" s="19">
        <v>66</v>
      </c>
      <c r="B38" s="11"/>
      <c r="C38" s="11"/>
      <c r="D38" s="12"/>
      <c r="E38" s="13"/>
    </row>
    <row r="39" ht="13.65" customHeight="1">
      <c r="A39" s="14"/>
      <c r="B39" t="s" s="15">
        <v>67</v>
      </c>
      <c r="C39" s="36">
        <v>30</v>
      </c>
      <c r="D39" s="17"/>
      <c r="E39" s="13"/>
    </row>
    <row r="40" ht="13.65" customHeight="1">
      <c r="A40" s="14"/>
      <c r="B40" t="s" s="15">
        <v>68</v>
      </c>
      <c r="C40" s="36">
        <v>50</v>
      </c>
      <c r="D40" s="17"/>
      <c r="E40" s="13"/>
    </row>
    <row r="41" ht="13.65" customHeight="1">
      <c r="A41" s="14"/>
      <c r="B41" t="s" s="15">
        <v>69</v>
      </c>
      <c r="C41" s="36">
        <v>300</v>
      </c>
      <c r="D41" s="17"/>
      <c r="E41" s="13"/>
    </row>
    <row r="42" ht="13.65" customHeight="1">
      <c r="A42" s="14"/>
      <c r="B42" t="s" s="15">
        <v>70</v>
      </c>
      <c r="C42" s="36">
        <v>2000</v>
      </c>
      <c r="D42" s="17"/>
      <c r="E42" s="13"/>
    </row>
    <row r="43" ht="13.65" customHeight="1">
      <c r="A43" s="14"/>
      <c r="B43" t="s" s="15">
        <v>71</v>
      </c>
      <c r="C43" s="36">
        <v>150</v>
      </c>
      <c r="D43" s="17"/>
      <c r="E43" s="13"/>
    </row>
    <row r="44" ht="13.65" customHeight="1">
      <c r="A44" s="14"/>
      <c r="B44" t="s" s="15">
        <v>72</v>
      </c>
      <c r="C44" s="36">
        <v>0</v>
      </c>
      <c r="D44" s="17"/>
      <c r="E44" s="13"/>
    </row>
    <row r="45" ht="13.55" customHeight="1">
      <c r="A45" s="10"/>
      <c r="B45" s="18"/>
      <c r="C45" s="18"/>
      <c r="D45" s="12"/>
      <c r="E45" s="13"/>
    </row>
    <row r="46" ht="22" customHeight="1">
      <c r="A46" t="s" s="19">
        <v>73</v>
      </c>
      <c r="B46" s="11"/>
      <c r="C46" s="11"/>
      <c r="D46" s="12"/>
      <c r="E46" s="13"/>
    </row>
    <row r="47" ht="13.65" customHeight="1">
      <c r="A47" s="14"/>
      <c r="B47" t="s" s="15">
        <v>74</v>
      </c>
      <c r="C47" s="36">
        <v>850</v>
      </c>
      <c r="D47" s="17"/>
      <c r="E47" s="13"/>
    </row>
    <row r="48" ht="13.65" customHeight="1">
      <c r="A48" s="14"/>
      <c r="B48" t="s" s="15">
        <v>75</v>
      </c>
      <c r="C48" s="36">
        <v>1250</v>
      </c>
      <c r="D48" s="17"/>
      <c r="E48" s="13"/>
    </row>
    <row r="49" ht="13.55" customHeight="1">
      <c r="A49" s="10"/>
      <c r="B49" s="18"/>
      <c r="C49" s="18"/>
      <c r="D49" s="12"/>
      <c r="E49" s="13"/>
    </row>
    <row r="50" ht="22" customHeight="1">
      <c r="A50" t="s" s="19">
        <v>76</v>
      </c>
      <c r="B50" s="11"/>
      <c r="C50" s="11"/>
      <c r="D50" s="12"/>
      <c r="E50" s="13"/>
    </row>
    <row r="51" ht="13.65" customHeight="1">
      <c r="A51" s="14"/>
      <c r="B51" t="s" s="15">
        <v>77</v>
      </c>
      <c r="C51" s="41">
        <v>300</v>
      </c>
      <c r="D51" s="17"/>
      <c r="E51" s="13"/>
    </row>
    <row r="52" ht="13.65" customHeight="1">
      <c r="A52" s="14"/>
      <c r="B52" t="s" s="15">
        <v>78</v>
      </c>
      <c r="C52" s="36">
        <v>4200</v>
      </c>
      <c r="D52" s="17"/>
      <c r="E52" s="13"/>
    </row>
    <row r="53" ht="13.65" customHeight="1">
      <c r="A53" s="14"/>
      <c r="B53" t="s" s="39">
        <v>79</v>
      </c>
      <c r="C53" s="40" cm="1">
        <f t="array" ref="C53">C51*C52</f>
        <v>1260000</v>
      </c>
      <c r="D53" s="17"/>
      <c r="E53" s="13"/>
    </row>
    <row r="54" ht="13.55" customHeight="1">
      <c r="A54" s="47"/>
      <c r="B54" s="18"/>
      <c r="C54" s="18"/>
      <c r="D54" s="12"/>
      <c r="E54" s="13"/>
    </row>
    <row r="55" ht="13.65" customHeight="1">
      <c r="A55" t="s" s="15">
        <v>80</v>
      </c>
      <c r="B55" s="17"/>
      <c r="C55" s="12"/>
      <c r="D55" s="12"/>
      <c r="E55" s="13"/>
    </row>
    <row r="56" ht="13.65" customHeight="1">
      <c r="A56" t="s" s="48">
        <v>81</v>
      </c>
      <c r="B56" s="17"/>
      <c r="C56" s="12"/>
      <c r="D56" s="12"/>
      <c r="E56" s="13"/>
    </row>
    <row r="57" ht="13.65" customHeight="1">
      <c r="A57" t="s" s="15">
        <v>82</v>
      </c>
      <c r="B57" s="31"/>
      <c r="C57" s="49"/>
      <c r="D57" s="49"/>
      <c r="E57" s="32"/>
    </row>
  </sheetData>
  <mergeCells count="8">
    <mergeCell ref="A1:D1"/>
    <mergeCell ref="A50:D50"/>
    <mergeCell ref="A3:D3"/>
    <mergeCell ref="A20:D20"/>
    <mergeCell ref="A38:D38"/>
    <mergeCell ref="A28:D28"/>
    <mergeCell ref="A46:D46"/>
    <mergeCell ref="A13:D1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8"/>
  <sheetViews>
    <sheetView workbookViewId="0" showGridLines="0" defaultGridColor="1"/>
  </sheetViews>
  <sheetFormatPr defaultColWidth="8.83333" defaultRowHeight="15" customHeight="1" outlineLevelRow="0" outlineLevelCol="0"/>
  <cols>
    <col min="1" max="1" width="4" style="50" customWidth="1"/>
    <col min="2" max="2" width="40" style="50" customWidth="1"/>
    <col min="3" max="4" width="18" style="50" customWidth="1"/>
    <col min="5" max="5" width="8.85156" style="50" customWidth="1"/>
    <col min="6" max="16384" width="8.85156" style="50" customWidth="1"/>
  </cols>
  <sheetData>
    <row r="1" ht="30" customHeight="1">
      <c r="A1" t="s" s="7">
        <v>84</v>
      </c>
      <c r="B1" s="8"/>
      <c r="C1" s="8"/>
      <c r="D1" s="8"/>
      <c r="E1" s="9"/>
    </row>
    <row r="2" ht="13.55" customHeight="1">
      <c r="A2" s="10"/>
      <c r="B2" s="12"/>
      <c r="C2" s="12"/>
      <c r="D2" s="12"/>
      <c r="E2" s="13"/>
    </row>
    <row r="3" ht="22" customHeight="1">
      <c r="A3" t="s" s="19">
        <v>85</v>
      </c>
      <c r="B3" s="11"/>
      <c r="C3" s="11"/>
      <c r="D3" s="11"/>
      <c r="E3" s="13"/>
    </row>
    <row r="4" ht="13.65" customHeight="1">
      <c r="A4" s="14"/>
      <c r="B4" t="s" s="34">
        <v>50</v>
      </c>
      <c r="C4" t="s" s="35">
        <v>86</v>
      </c>
      <c r="D4" t="s" s="35">
        <v>87</v>
      </c>
      <c r="E4" s="42"/>
    </row>
    <row r="5" ht="13.65" customHeight="1">
      <c r="A5" s="14"/>
      <c r="B5" t="s" s="15">
        <v>88</v>
      </c>
      <c r="C5" s="51" cm="1">
        <f t="array" ref="C5">'Hypothèses'!$C$22*'Hypothèses'!$D$22*'Hypothèses'!$C$25</f>
        <v>4350</v>
      </c>
      <c r="D5" s="38" cm="1">
        <f t="array" ref="D5">C5*12</f>
        <v>52200</v>
      </c>
      <c r="E5" s="42"/>
    </row>
    <row r="6" ht="13.65" customHeight="1">
      <c r="A6" s="14"/>
      <c r="B6" t="s" s="15">
        <v>89</v>
      </c>
      <c r="C6" s="51" cm="1">
        <f t="array" ref="C6">'Hypothèses'!$C$23*'Hypothèses'!$D$23*'Hypothèses'!$C$26</f>
        <v>10005</v>
      </c>
      <c r="D6" s="38" cm="1">
        <f t="array" ref="D6">C6*12</f>
        <v>120060</v>
      </c>
      <c r="E6" s="42"/>
    </row>
    <row r="7" ht="13.65" customHeight="1">
      <c r="A7" s="14"/>
      <c r="B7" t="s" s="39">
        <v>90</v>
      </c>
      <c r="C7" s="40" cm="1">
        <f t="array" ref="C7">SUM(C5:C6)</f>
        <v>14355</v>
      </c>
      <c r="D7" s="40" cm="1">
        <f t="array" ref="D7">SUM(D5:D6)</f>
        <v>172260</v>
      </c>
      <c r="E7" s="42"/>
    </row>
    <row r="8" ht="13.55" customHeight="1">
      <c r="A8" s="10"/>
      <c r="B8" s="18"/>
      <c r="C8" s="18"/>
      <c r="D8" s="18"/>
      <c r="E8" s="13"/>
    </row>
    <row r="9" ht="22" customHeight="1">
      <c r="A9" t="s" s="19">
        <v>91</v>
      </c>
      <c r="B9" s="11"/>
      <c r="C9" s="11"/>
      <c r="D9" s="11"/>
      <c r="E9" s="13"/>
    </row>
    <row r="10" ht="13.65" customHeight="1">
      <c r="A10" s="14"/>
      <c r="B10" t="s" s="34">
        <v>36</v>
      </c>
      <c r="C10" t="s" s="35">
        <v>86</v>
      </c>
      <c r="D10" t="s" s="35">
        <v>87</v>
      </c>
      <c r="E10" s="42"/>
    </row>
    <row r="11" ht="13.65" customHeight="1">
      <c r="A11" s="14"/>
      <c r="B11" t="s" s="15">
        <v>92</v>
      </c>
      <c r="C11" s="51" cm="1">
        <f t="array" ref="C11">'Hypothèses'!$C$22*'Hypothèses'!$C$30+'Hypothèses'!$C$23*'Hypothèses'!$D$30</f>
        <v>350</v>
      </c>
      <c r="D11" s="38" cm="1">
        <f t="array" ref="D11">C11*12</f>
        <v>4200</v>
      </c>
      <c r="E11" s="42"/>
    </row>
    <row r="12" ht="13.65" customHeight="1">
      <c r="A12" s="14"/>
      <c r="B12" t="s" s="15">
        <v>93</v>
      </c>
      <c r="C12" s="51" cm="1">
        <f t="array" ref="C12">'Hypothèses'!$C$22*'Hypothèses'!$C$31+'Hypothèses'!$C$23*'Hypothèses'!$D$31</f>
        <v>75</v>
      </c>
      <c r="D12" s="38" cm="1">
        <f t="array" ref="D12">C12*12</f>
        <v>900</v>
      </c>
      <c r="E12" s="42"/>
    </row>
    <row r="13" ht="13.65" customHeight="1">
      <c r="A13" s="14"/>
      <c r="B13" t="s" s="15">
        <v>94</v>
      </c>
      <c r="C13" s="51" cm="1">
        <f t="array" ref="C13">'Hypothèses'!$C$22*'Hypothèses'!$C$32+'Hypothèses'!$C$23*'Hypothèses'!$D$32</f>
        <v>150</v>
      </c>
      <c r="D13" s="38" cm="1">
        <f t="array" ref="D13">C13*12</f>
        <v>1800</v>
      </c>
      <c r="E13" s="42"/>
    </row>
    <row r="14" ht="13.65" customHeight="1">
      <c r="A14" s="14"/>
      <c r="B14" t="s" s="15">
        <v>95</v>
      </c>
      <c r="C14" s="51" cm="1">
        <f t="array" ref="C14">'Hypothèses'!$C$22*'Hypothèses'!$C$33+'Hypothèses'!$C$23*'Hypothèses'!$D$33</f>
        <v>150</v>
      </c>
      <c r="D14" s="38" cm="1">
        <f t="array" ref="D14">C14*12</f>
        <v>1800</v>
      </c>
      <c r="E14" s="42"/>
    </row>
    <row r="15" ht="13.65" customHeight="1">
      <c r="A15" s="14"/>
      <c r="B15" t="s" s="15">
        <v>96</v>
      </c>
      <c r="C15" s="51" cm="1">
        <f t="array" ref="C15">'Hypothèses'!$C$39</f>
        <v>30</v>
      </c>
      <c r="D15" s="38" cm="1">
        <f t="array" ref="D15">C15*12</f>
        <v>360</v>
      </c>
      <c r="E15" s="42"/>
    </row>
    <row r="16" ht="13.65" customHeight="1">
      <c r="A16" s="14"/>
      <c r="B16" t="s" s="15">
        <v>97</v>
      </c>
      <c r="C16" s="51" cm="1">
        <f t="array" ref="C16">'Hypothèses'!$C$40</f>
        <v>50</v>
      </c>
      <c r="D16" s="38" cm="1">
        <f t="array" ref="D16">C16*12</f>
        <v>600</v>
      </c>
      <c r="E16" s="42"/>
    </row>
    <row r="17" ht="13.65" customHeight="1">
      <c r="A17" s="14"/>
      <c r="B17" t="s" s="15">
        <v>98</v>
      </c>
      <c r="C17" s="51" cm="1">
        <f t="array" ref="C17">'Hypothèses'!$C$41</f>
        <v>300</v>
      </c>
      <c r="D17" s="38" cm="1">
        <f t="array" ref="D17">C17*12</f>
        <v>3600</v>
      </c>
      <c r="E17" s="42"/>
    </row>
    <row r="18" ht="13.65" customHeight="1">
      <c r="A18" s="14"/>
      <c r="B18" t="s" s="15">
        <v>99</v>
      </c>
      <c r="C18" s="51" cm="1">
        <f t="array" ref="C18">'Hypothèses'!$C$22*('Hypothèses'!$C$25/'Hypothèses'!$C$36)*('Hypothèses'!$C$34+'Hypothèses'!$C$35)</f>
        <v>1047.222222222220</v>
      </c>
      <c r="D18" s="38" cm="1">
        <f t="array" ref="D18">C18*12</f>
        <v>12566.6666666666</v>
      </c>
      <c r="E18" s="42"/>
    </row>
    <row r="19" ht="13.65" customHeight="1">
      <c r="A19" s="14"/>
      <c r="B19" t="s" s="15">
        <v>100</v>
      </c>
      <c r="C19" s="51" cm="1">
        <f t="array" ref="C19">'Hypothèses'!$C$23*('Hypothèses'!$C$26/'Hypothèses'!$D$36)*('Hypothèses'!$D$34+'Hypothèses'!$D$35)</f>
        <v>1261.5</v>
      </c>
      <c r="D19" s="38" cm="1">
        <f t="array" ref="D19">C19*12</f>
        <v>15138</v>
      </c>
      <c r="E19" s="42"/>
    </row>
    <row r="20" ht="13.65" customHeight="1">
      <c r="A20" s="14"/>
      <c r="B20" t="s" s="15">
        <v>101</v>
      </c>
      <c r="C20" s="51" cm="1">
        <f t="array" ref="C20">'Hypothèses'!$C$42/12</f>
        <v>166.666666666667</v>
      </c>
      <c r="D20" s="51" cm="1">
        <f t="array" ref="D20">'Hypothèses'!$C$42</f>
        <v>2000</v>
      </c>
      <c r="E20" s="42"/>
    </row>
    <row r="21" ht="13.65" customHeight="1">
      <c r="A21" s="14"/>
      <c r="B21" t="s" s="15">
        <v>102</v>
      </c>
      <c r="C21" s="51" cm="1">
        <f t="array" ref="C21">'Hypothèses'!$C$24*'Hypothèses'!$C$43/12</f>
        <v>62.5</v>
      </c>
      <c r="D21" s="51" cm="1">
        <f t="array" ref="D21">'Hypothèses'!$C$24*'Hypothèses'!$C$43</f>
        <v>750</v>
      </c>
      <c r="E21" s="42"/>
    </row>
    <row r="22" ht="13.65" customHeight="1">
      <c r="A22" s="14"/>
      <c r="B22" t="s" s="15">
        <v>103</v>
      </c>
      <c r="C22" s="51" cm="1">
        <f t="array" ref="C22">'Hypothèses'!$C$44/12</f>
        <v>0</v>
      </c>
      <c r="D22" s="51" cm="1">
        <f t="array" ref="D22">'Hypothèses'!$C$44</f>
        <v>0</v>
      </c>
      <c r="E22" s="42"/>
    </row>
    <row r="23" ht="13.65" customHeight="1">
      <c r="A23" s="14"/>
      <c r="B23" t="s" s="39">
        <v>104</v>
      </c>
      <c r="C23" s="40" cm="1">
        <f t="array" ref="C23">SUM(C11:C22)</f>
        <v>3642.888888888890</v>
      </c>
      <c r="D23" s="40" cm="1">
        <f t="array" ref="D23">SUM(D11:D22)</f>
        <v>43714.6666666666</v>
      </c>
      <c r="E23" s="42"/>
    </row>
    <row r="24" ht="13.55" customHeight="1">
      <c r="A24" s="10"/>
      <c r="B24" s="18"/>
      <c r="C24" s="18"/>
      <c r="D24" s="18"/>
      <c r="E24" s="13"/>
    </row>
    <row r="25" ht="22" customHeight="1">
      <c r="A25" t="s" s="19">
        <v>105</v>
      </c>
      <c r="B25" s="11"/>
      <c r="C25" s="11"/>
      <c r="D25" s="11"/>
      <c r="E25" s="13"/>
    </row>
    <row r="26" ht="13.65" customHeight="1">
      <c r="A26" s="14"/>
      <c r="B26" t="s" s="39">
        <v>106</v>
      </c>
      <c r="C26" s="52" cm="1">
        <f t="array" ref="C26">C7-C23</f>
        <v>10712.1111111111</v>
      </c>
      <c r="D26" s="52" cm="1">
        <f t="array" ref="D26">D7-D23</f>
        <v>128545.333333333</v>
      </c>
      <c r="E26" s="42"/>
    </row>
    <row r="27" ht="13.65" customHeight="1">
      <c r="A27" s="14"/>
      <c r="B27" t="s" s="15">
        <v>107</v>
      </c>
      <c r="C27" s="53" cm="1">
        <f t="array" ref="C27">-PMT('Hypothèses'!$C$17/12,'Hypothèses'!$C$16*12,'Hypothèses'!$C$15)</f>
        <v>3501.502866633760</v>
      </c>
      <c r="D27" s="53" cm="1">
        <f t="array" ref="D27">C27*12</f>
        <v>42018.0343996051</v>
      </c>
      <c r="E27" s="42"/>
    </row>
    <row r="28" ht="13.65" customHeight="1">
      <c r="A28" s="30"/>
      <c r="B28" t="s" s="39">
        <v>108</v>
      </c>
      <c r="C28" s="54" cm="1">
        <f t="array" ref="C28">C26-C27</f>
        <v>7210.608244477340</v>
      </c>
      <c r="D28" s="54" cm="1">
        <f t="array" ref="D28">D26-D27</f>
        <v>86527.2989337279</v>
      </c>
      <c r="E28" s="55"/>
    </row>
  </sheetData>
  <mergeCells count="4">
    <mergeCell ref="A1:D1"/>
    <mergeCell ref="A9:D9"/>
    <mergeCell ref="A3:D3"/>
    <mergeCell ref="A25:D25"/>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1" width="3" style="56" customWidth="1"/>
    <col min="2" max="2" width="38" style="56" customWidth="1"/>
    <col min="3" max="5" width="14" style="56" customWidth="1"/>
    <col min="6" max="16384" width="8.85156" style="56" customWidth="1"/>
  </cols>
  <sheetData>
    <row r="1" ht="30" customHeight="1">
      <c r="A1" t="s" s="7">
        <v>110</v>
      </c>
      <c r="B1" s="8"/>
      <c r="C1" s="8"/>
      <c r="D1" s="8"/>
      <c r="E1" s="9"/>
    </row>
    <row r="2" ht="13.55" customHeight="1">
      <c r="A2" s="10"/>
      <c r="B2" s="11"/>
      <c r="C2" s="11"/>
      <c r="D2" s="11"/>
      <c r="E2" s="57"/>
    </row>
    <row r="3" ht="13.65" customHeight="1">
      <c r="A3" s="14"/>
      <c r="B3" t="s" s="15">
        <v>111</v>
      </c>
      <c r="C3" s="58"/>
      <c r="D3" s="59"/>
      <c r="E3" s="60"/>
    </row>
    <row r="4" ht="28" customHeight="1">
      <c r="A4" s="14"/>
      <c r="B4" t="s" s="15">
        <v>112</v>
      </c>
      <c r="C4" s="58"/>
      <c r="D4" s="59"/>
      <c r="E4" s="60"/>
    </row>
    <row r="5" ht="13.55" customHeight="1">
      <c r="A5" s="10"/>
      <c r="B5" s="59"/>
      <c r="C5" s="59"/>
      <c r="D5" s="59"/>
      <c r="E5" s="61"/>
    </row>
    <row r="6" ht="13.65" customHeight="1">
      <c r="A6" s="14"/>
      <c r="B6" t="s" s="34">
        <v>36</v>
      </c>
      <c r="C6" t="s" s="35">
        <v>113</v>
      </c>
      <c r="D6" t="s" s="35">
        <v>114</v>
      </c>
      <c r="E6" t="s" s="35">
        <v>115</v>
      </c>
    </row>
    <row r="7" ht="12.65" customHeight="1">
      <c r="A7" s="14"/>
      <c r="B7" t="s" s="39">
        <v>116</v>
      </c>
      <c r="C7" s="38" cm="1">
        <f t="array" ref="C7">'Plan 1 (5 lots)'!D7*0.429166666666667</f>
        <v>73928.2500000001</v>
      </c>
      <c r="D7" s="38" cm="1">
        <f t="array" ref="D7">'Plan 1 (5 lots)'!D7</f>
        <v>172260</v>
      </c>
      <c r="E7" s="38" cm="1">
        <f t="array" ref="E7">'Plan 1 (5 lots)'!D7</f>
        <v>172260</v>
      </c>
    </row>
    <row r="8" ht="12.65" customHeight="1">
      <c r="A8" s="14"/>
      <c r="B8" t="s" s="15">
        <v>117</v>
      </c>
      <c r="C8" s="38" cm="1">
        <f t="array" ref="C8">-'Plan 1 (5 lots)'!D23*0.429166666666667</f>
        <v>-18760.8777777778</v>
      </c>
      <c r="D8" s="38" cm="1">
        <f t="array" ref="D8">-'Plan 1 (5 lots)'!D23</f>
        <v>-43714.6666666666</v>
      </c>
      <c r="E8" s="38" cm="1">
        <f t="array" ref="E8">-'Plan 1 (5 lots)'!D23</f>
        <v>-43714.6666666666</v>
      </c>
    </row>
    <row r="9" ht="12.65" customHeight="1">
      <c r="A9" s="14"/>
      <c r="B9" t="s" s="39">
        <v>118</v>
      </c>
      <c r="C9" s="40" cm="1">
        <f t="array" ref="C9">C7+C8</f>
        <v>55167.3722222223</v>
      </c>
      <c r="D9" s="40" cm="1">
        <f t="array" ref="D9">D7+D8</f>
        <v>128545.333333333</v>
      </c>
      <c r="E9" s="40" cm="1">
        <f t="array" ref="E9">E7+E8</f>
        <v>128545.333333333</v>
      </c>
    </row>
    <row r="10" ht="12.65" customHeight="1">
      <c r="A10" s="10"/>
      <c r="B10" s="62"/>
      <c r="C10" s="62"/>
      <c r="D10" s="62"/>
      <c r="E10" s="63"/>
    </row>
    <row r="11" ht="12.65" customHeight="1">
      <c r="A11" s="14"/>
      <c r="B11" t="s" s="15">
        <v>119</v>
      </c>
      <c r="C11" s="38" cm="1">
        <f t="array" ref="C11">-'Hypothèses'!$C$15*'Hypothèses'!$C$17</f>
        <v>-22344</v>
      </c>
      <c r="D11" s="38" cm="1">
        <f t="array" ref="D11">-'Hypothèses'!$C$15*'Hypothèses'!$C$17*0.5-('Plan 1 (5 lots)'!C27)*6</f>
        <v>-32181.0171998026</v>
      </c>
      <c r="E11" s="38" cm="1">
        <f t="array" ref="E11">-('Plan 1 (5 lots)'!C27)*12</f>
        <v>-42018.0343996051</v>
      </c>
    </row>
    <row r="12" ht="12.65" customHeight="1">
      <c r="A12" s="10"/>
      <c r="B12" s="62"/>
      <c r="C12" s="62"/>
      <c r="D12" s="62"/>
      <c r="E12" s="63"/>
    </row>
    <row r="13" ht="12.65" customHeight="1">
      <c r="A13" s="14"/>
      <c r="B13" t="s" s="39">
        <v>120</v>
      </c>
      <c r="C13" s="54" cm="1">
        <f t="array" ref="C13">C9+C11</f>
        <v>32823.3722222223</v>
      </c>
      <c r="D13" s="54" cm="1">
        <f t="array" ref="D13">D9+D11</f>
        <v>96364.3161335304</v>
      </c>
      <c r="E13" s="54" cm="1">
        <f t="array" ref="E13">E9+E11</f>
        <v>86527.2989337279</v>
      </c>
    </row>
    <row r="14" ht="12.65" customHeight="1">
      <c r="A14" s="14"/>
      <c r="B14" t="s" s="39">
        <v>121</v>
      </c>
      <c r="C14" s="40" cm="1">
        <f t="array" ref="C14">C13/12</f>
        <v>2735.281018518530</v>
      </c>
      <c r="D14" s="40" cm="1">
        <f t="array" ref="D14">D13/12</f>
        <v>8030.3596777942</v>
      </c>
      <c r="E14" s="40" cm="1">
        <f t="array" ref="E14">E13/12</f>
        <v>7210.608244477330</v>
      </c>
    </row>
    <row r="15" ht="12.65" customHeight="1">
      <c r="A15" s="10"/>
      <c r="B15" s="62"/>
      <c r="C15" s="62"/>
      <c r="D15" s="62"/>
      <c r="E15" s="63"/>
    </row>
    <row r="16" ht="12.65" customHeight="1">
      <c r="A16" s="30"/>
      <c r="B16" t="s" s="39">
        <v>122</v>
      </c>
      <c r="C16" s="40" cm="1">
        <f t="array" ref="C16">C13</f>
        <v>32823.3722222223</v>
      </c>
      <c r="D16" s="40" cm="1">
        <f t="array" ref="D16">C16+D13</f>
        <v>129187.688355753</v>
      </c>
      <c r="E16" s="40" cm="1">
        <f t="array" ref="E16">D16+E13</f>
        <v>215714.987289481</v>
      </c>
    </row>
  </sheetData>
  <mergeCells count="3">
    <mergeCell ref="A1:E1"/>
    <mergeCell ref="B3:E3"/>
    <mergeCell ref="B4:E4"/>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F26"/>
  <sheetViews>
    <sheetView workbookViewId="0" showGridLines="0" defaultGridColor="1"/>
  </sheetViews>
  <sheetFormatPr defaultColWidth="8.83333" defaultRowHeight="15" customHeight="1" outlineLevelRow="0" outlineLevelCol="0"/>
  <cols>
    <col min="1" max="1" width="4" style="64" customWidth="1"/>
    <col min="2" max="2" width="10" style="64" customWidth="1"/>
    <col min="3" max="6" width="16" style="64" customWidth="1"/>
    <col min="7" max="16384" width="8.85156" style="64" customWidth="1"/>
  </cols>
  <sheetData>
    <row r="1" ht="30" customHeight="1">
      <c r="A1" t="s" s="7">
        <v>124</v>
      </c>
      <c r="B1" s="8"/>
      <c r="C1" s="8"/>
      <c r="D1" s="8"/>
      <c r="E1" s="8"/>
      <c r="F1" s="9"/>
    </row>
    <row r="2" ht="13.55" customHeight="1">
      <c r="A2" s="10"/>
      <c r="B2" s="11"/>
      <c r="C2" s="11"/>
      <c r="D2" s="12"/>
      <c r="E2" s="12"/>
      <c r="F2" s="13"/>
    </row>
    <row r="3" ht="13.65" customHeight="1">
      <c r="A3" s="14"/>
      <c r="B3" t="s" s="15">
        <v>30</v>
      </c>
      <c r="C3" s="38" cm="1">
        <f t="array" ref="C3">-PMT('Hypothèses'!$C$17/12,'Hypothèses'!$C$16*12,'Hypothèses'!$C$15)</f>
        <v>3501.502866633760</v>
      </c>
      <c r="D3" s="17"/>
      <c r="E3" s="12"/>
      <c r="F3" s="13"/>
    </row>
    <row r="4" ht="13.55" customHeight="1">
      <c r="A4" s="10"/>
      <c r="B4" s="59"/>
      <c r="C4" s="59"/>
      <c r="D4" s="11"/>
      <c r="E4" s="11"/>
      <c r="F4" s="57"/>
    </row>
    <row r="5" ht="13.65" customHeight="1">
      <c r="A5" s="14"/>
      <c r="B5" t="s" s="35">
        <v>125</v>
      </c>
      <c r="C5" t="s" s="35">
        <v>126</v>
      </c>
      <c r="D5" t="s" s="35">
        <v>127</v>
      </c>
      <c r="E5" t="s" s="35">
        <v>128</v>
      </c>
      <c r="F5" t="s" s="35">
        <v>129</v>
      </c>
    </row>
    <row r="6" ht="13.65" customHeight="1">
      <c r="A6" s="14"/>
      <c r="B6" s="65">
        <v>1</v>
      </c>
      <c r="C6" s="38" cm="1">
        <f t="array" ref="C6">'Hypothèses'!$C$15</f>
        <v>588000</v>
      </c>
      <c r="D6" s="38" cm="1">
        <f t="array" ref="D6">$C$3*12</f>
        <v>42018.0343996051</v>
      </c>
      <c r="E6" s="38" cm="1">
        <f t="array" ref="E6">D6-F6</f>
        <v>21997.7010737332</v>
      </c>
      <c r="F6" s="38" cm="1">
        <f t="array" ref="F6">C6-('Hypothèses'!$C$15)*((1+'Hypothèses'!$C$17/12)^('Hypothèses'!$C$16*12)-(1+'Hypothèses'!$C$17/12)^(1*12))/((1+'Hypothèses'!$C$17/12)^('Hypothèses'!$C$16*12)-1)</f>
        <v>20020.3333258719</v>
      </c>
    </row>
    <row r="7" ht="13.65" customHeight="1">
      <c r="A7" s="14"/>
      <c r="B7" s="65">
        <v>2</v>
      </c>
      <c r="C7" s="38" cm="1">
        <f t="array" ref="C7">C6-F6</f>
        <v>567979.666674128</v>
      </c>
      <c r="D7" s="38" cm="1">
        <f t="array" ref="D7">$C$3*12</f>
        <v>42018.0343996051</v>
      </c>
      <c r="E7" s="38" cm="1">
        <f t="array" ref="E7">D7-F7</f>
        <v>21223.5374194038</v>
      </c>
      <c r="F7" s="38" cm="1">
        <f t="array" ref="F7">C7-('Hypothèses'!$C$15)*((1+'Hypothèses'!$C$17/12)^('Hypothèses'!$C$16*12)-(1+'Hypothèses'!$C$17/12)^(2*12))/((1+'Hypothèses'!$C$17/12)^('Hypothèses'!$C$16*12)-1)</f>
        <v>20794.4969802013</v>
      </c>
    </row>
    <row r="8" ht="13.65" customHeight="1">
      <c r="A8" s="14"/>
      <c r="B8" s="65">
        <v>3</v>
      </c>
      <c r="C8" s="38" cm="1">
        <f t="array" ref="C8">C7-F7</f>
        <v>547185.169693927</v>
      </c>
      <c r="D8" s="38" cm="1">
        <f t="array" ref="D8">$C$3*12</f>
        <v>42018.0343996051</v>
      </c>
      <c r="E8" s="38" cm="1">
        <f t="array" ref="E8">D8-F8</f>
        <v>20419.4377318457</v>
      </c>
      <c r="F8" s="38" cm="1">
        <f t="array" ref="F8">C8-('Hypothèses'!$C$15)*((1+'Hypothèses'!$C$17/12)^('Hypothèses'!$C$16*12)-(1+'Hypothèses'!$C$17/12)^(3*12))/((1+'Hypothèses'!$C$17/12)^('Hypothèses'!$C$16*12)-1)</f>
        <v>21598.5966677594</v>
      </c>
    </row>
    <row r="9" ht="13.65" customHeight="1">
      <c r="A9" s="14"/>
      <c r="B9" s="65">
        <v>4</v>
      </c>
      <c r="C9" s="38" cm="1">
        <f t="array" ref="C9">C8-F8</f>
        <v>525586.573026168</v>
      </c>
      <c r="D9" s="38" cm="1">
        <f t="array" ref="D9">$C$3*12</f>
        <v>42018.0343996051</v>
      </c>
      <c r="E9" s="38" cm="1">
        <f t="array" ref="E9">D9-F9</f>
        <v>19584.2444185009</v>
      </c>
      <c r="F9" s="38" cm="1">
        <f t="array" ref="F9">C9-('Hypothèses'!$C$15)*((1+'Hypothèses'!$C$17/12)^('Hypothèses'!$C$16*12)-(1+'Hypothèses'!$C$17/12)^(4*12))/((1+'Hypothèses'!$C$17/12)^('Hypothèses'!$C$16*12)-1)</f>
        <v>22433.7899811042</v>
      </c>
    </row>
    <row r="10" ht="13.65" customHeight="1">
      <c r="A10" s="14"/>
      <c r="B10" s="65">
        <v>5</v>
      </c>
      <c r="C10" s="38" cm="1">
        <f t="array" ref="C10">C9-F9</f>
        <v>503152.783045064</v>
      </c>
      <c r="D10" s="38" cm="1">
        <f t="array" ref="D10">$C$3*12</f>
        <v>42018.0343996051</v>
      </c>
      <c r="E10" s="38" cm="1">
        <f t="array" ref="E10">D10-F10</f>
        <v>18716.7551240151</v>
      </c>
      <c r="F10" s="38" cm="1">
        <f t="array" ref="F10">C10-('Hypothèses'!$C$15)*((1+'Hypothèses'!$C$17/12)^('Hypothèses'!$C$16*12)-(1+'Hypothèses'!$C$17/12)^(5*12))/((1+'Hypothèses'!$C$17/12)^('Hypothèses'!$C$16*12)-1)</f>
        <v>23301.27927559</v>
      </c>
    </row>
    <row r="11" ht="13.65" customHeight="1">
      <c r="A11" s="14"/>
      <c r="B11" s="65">
        <v>6</v>
      </c>
      <c r="C11" s="38" cm="1">
        <f t="array" ref="C11">C10-F10</f>
        <v>479851.503769474</v>
      </c>
      <c r="D11" s="38" cm="1">
        <f t="array" ref="D11">$C$3*12</f>
        <v>42018.0343996051</v>
      </c>
      <c r="E11" s="38" cm="1">
        <f t="array" ref="E11">D11-F11</f>
        <v>17815.7209993121</v>
      </c>
      <c r="F11" s="38" cm="1">
        <f t="array" ref="F11">C11-('Hypothèses'!$C$15)*((1+'Hypothèses'!$C$17/12)^('Hypothèses'!$C$16*12)-(1+'Hypothèses'!$C$17/12)^(6*12))/((1+'Hypothèses'!$C$17/12)^('Hypothèses'!$C$16*12)-1)</f>
        <v>24202.313400293</v>
      </c>
    </row>
    <row r="12" ht="13.65" customHeight="1">
      <c r="A12" s="14"/>
      <c r="B12" s="65">
        <v>7</v>
      </c>
      <c r="C12" s="38" cm="1">
        <f t="array" ref="C12">C11-F11</f>
        <v>455649.190369181</v>
      </c>
      <c r="D12" s="38" cm="1">
        <f t="array" ref="D12">$C$3*12</f>
        <v>42018.0343996051</v>
      </c>
      <c r="E12" s="38" cm="1">
        <f t="array" ref="E12">D12-F12</f>
        <v>16879.8449037337</v>
      </c>
      <c r="F12" s="38" cm="1">
        <f t="array" ref="F12">C12-('Hypothèses'!$C$15)*((1+'Hypothèses'!$C$17/12)^('Hypothèses'!$C$16*12)-(1+'Hypothèses'!$C$17/12)^(7*12))/((1+'Hypothèses'!$C$17/12)^('Hypothèses'!$C$16*12)-1)</f>
        <v>25138.1894958714</v>
      </c>
    </row>
    <row r="13" ht="13.65" customHeight="1">
      <c r="A13" s="14"/>
      <c r="B13" s="65">
        <v>8</v>
      </c>
      <c r="C13" s="38" cm="1">
        <f t="array" ref="C13">C12-F12</f>
        <v>430511.00087331</v>
      </c>
      <c r="D13" s="38" cm="1">
        <f t="array" ref="D13">$C$3*12</f>
        <v>42018.0343996051</v>
      </c>
      <c r="E13" s="38" cm="1">
        <f t="array" ref="E13">D13-F13</f>
        <v>15907.7795376585</v>
      </c>
      <c r="F13" s="38" cm="1">
        <f t="array" ref="F13">C13-('Hypothèses'!$C$15)*((1+'Hypothèses'!$C$17/12)^('Hypothèses'!$C$16*12)-(1+'Hypothèses'!$C$17/12)^(8*12))/((1+'Hypothèses'!$C$17/12)^('Hypothèses'!$C$16*12)-1)</f>
        <v>26110.2548619466</v>
      </c>
    </row>
    <row r="14" ht="13.65" customHeight="1">
      <c r="A14" s="14"/>
      <c r="B14" s="65">
        <v>9</v>
      </c>
      <c r="C14" s="38" cm="1">
        <f t="array" ref="C14">C13-F13</f>
        <v>404400.746011363</v>
      </c>
      <c r="D14" s="38" cm="1">
        <f t="array" ref="D14">$C$3*12</f>
        <v>42018.0343996051</v>
      </c>
      <c r="E14" s="38" cm="1">
        <f t="array" ref="E14">D14-F14</f>
        <v>14898.1255029147</v>
      </c>
      <c r="F14" s="38" cm="1">
        <f t="array" ref="F14">C14-('Hypothèses'!$C$15)*((1+'Hypothèses'!$C$17/12)^('Hypothèses'!$C$16*12)-(1+'Hypothèses'!$C$17/12)^(9*12))/((1+'Hypothèses'!$C$17/12)^('Hypothèses'!$C$16*12)-1)</f>
        <v>27119.9088966904</v>
      </c>
    </row>
    <row r="15" ht="13.65" customHeight="1">
      <c r="A15" s="14"/>
      <c r="B15" s="65">
        <v>10</v>
      </c>
      <c r="C15" s="38" cm="1">
        <f t="array" ref="C15">C14-F14</f>
        <v>377280.837114673</v>
      </c>
      <c r="D15" s="38" cm="1">
        <f t="array" ref="D15">$C$3*12</f>
        <v>42018.0343996051</v>
      </c>
      <c r="E15" s="38" cm="1">
        <f t="array" ref="E15">D15-F15</f>
        <v>13849.4292881803</v>
      </c>
      <c r="F15" s="38" cm="1">
        <f t="array" ref="F15">C15-('Hypothèses'!$C$15)*((1+'Hypothèses'!$C$17/12)^('Hypothèses'!$C$16*12)-(1+'Hypothèses'!$C$17/12)^(10*12))/((1+'Hypothèses'!$C$17/12)^('Hypothèses'!$C$16*12)-1)</f>
        <v>28168.6051114248</v>
      </c>
    </row>
    <row r="16" ht="13.65" customHeight="1">
      <c r="A16" s="14"/>
      <c r="B16" s="65">
        <v>11</v>
      </c>
      <c r="C16" s="38" cm="1">
        <f t="array" ref="C16">C15-F15</f>
        <v>349112.232003248</v>
      </c>
      <c r="D16" s="38" cm="1">
        <f t="array" ref="D16">$C$3*12</f>
        <v>42018.0343996051</v>
      </c>
      <c r="E16" s="38" cm="1">
        <f t="array" ref="E16">D16-F16</f>
        <v>12760.1811765004</v>
      </c>
      <c r="F16" s="38" cm="1">
        <f t="array" ref="F16">C16-('Hypothèses'!$C$15)*((1+'Hypothèses'!$C$17/12)^('Hypothèses'!$C$16*12)-(1+'Hypothèses'!$C$17/12)^(11*12))/((1+'Hypothèses'!$C$17/12)^('Hypothèses'!$C$16*12)-1)</f>
        <v>29257.8532231047</v>
      </c>
    </row>
    <row r="17" ht="13.65" customHeight="1">
      <c r="A17" s="14"/>
      <c r="B17" s="65">
        <v>12</v>
      </c>
      <c r="C17" s="38" cm="1">
        <f t="array" ref="C17">C16-F16</f>
        <v>319854.378780143</v>
      </c>
      <c r="D17" s="38" cm="1">
        <f t="array" ref="D17">$C$3*12</f>
        <v>42018.0343996051</v>
      </c>
      <c r="E17" s="38" cm="1">
        <f t="array" ref="E17">D17-F17</f>
        <v>11628.8130718661</v>
      </c>
      <c r="F17" s="38" cm="1">
        <f t="array" ref="F17">C17-('Hypothèses'!$C$15)*((1+'Hypothèses'!$C$17/12)^('Hypothèses'!$C$16*12)-(1+'Hypothèses'!$C$17/12)^(12*12))/((1+'Hypothèses'!$C$17/12)^('Hypothèses'!$C$16*12)-1)</f>
        <v>30389.221327739</v>
      </c>
    </row>
    <row r="18" ht="13.65" customHeight="1">
      <c r="A18" s="14"/>
      <c r="B18" s="65">
        <v>13</v>
      </c>
      <c r="C18" s="38" cm="1">
        <f t="array" ref="C18">C17-F17</f>
        <v>289465.157452404</v>
      </c>
      <c r="D18" s="38" cm="1">
        <f t="array" ref="D18">$C$3*12</f>
        <v>42018.0343996051</v>
      </c>
      <c r="E18" s="38" cm="1">
        <f t="array" ref="E18">D18-F18</f>
        <v>10453.6962417726</v>
      </c>
      <c r="F18" s="38" cm="1">
        <f t="array" ref="F18">C18-('Hypothèses'!$C$15)*((1+'Hypothèses'!$C$17/12)^('Hypothèses'!$C$16*12)-(1+'Hypothèses'!$C$17/12)^(13*12))/((1+'Hypothèses'!$C$17/12)^('Hypothèses'!$C$16*12)-1)</f>
        <v>31564.3381578325</v>
      </c>
    </row>
    <row r="19" ht="13.65" customHeight="1">
      <c r="A19" s="14"/>
      <c r="B19" s="65">
        <v>14</v>
      </c>
      <c r="C19" s="38" cm="1">
        <f t="array" ref="C19">C18-F18</f>
        <v>257900.819294572</v>
      </c>
      <c r="D19" s="38" cm="1">
        <f t="array" ref="D19">$C$3*12</f>
        <v>42018.0343996051</v>
      </c>
      <c r="E19" s="38" cm="1">
        <f t="array" ref="E19">D19-F19</f>
        <v>9233.1389724692</v>
      </c>
      <c r="F19" s="38" cm="1">
        <f t="array" ref="F19">C19-('Hypothèses'!$C$15)*((1+'Hypothèses'!$C$17/12)^('Hypothèses'!$C$16*12)-(1+'Hypothèses'!$C$17/12)^(14*12))/((1+'Hypothèses'!$C$17/12)^('Hypothèses'!$C$16*12)-1)</f>
        <v>32784.8954271359</v>
      </c>
    </row>
    <row r="20" ht="13.65" customHeight="1">
      <c r="A20" s="14"/>
      <c r="B20" s="65">
        <v>15</v>
      </c>
      <c r="C20" s="38" cm="1">
        <f t="array" ref="C20">C19-F19</f>
        <v>225115.923867436</v>
      </c>
      <c r="D20" s="38" cm="1">
        <f t="array" ref="D20">$C$3*12</f>
        <v>42018.0343996051</v>
      </c>
      <c r="E20" s="38" cm="1">
        <f t="array" ref="E20">D20-F20</f>
        <v>7965.384133549</v>
      </c>
      <c r="F20" s="38" cm="1">
        <f t="array" ref="F20">C20-('Hypothèses'!$C$15)*((1+'Hypothèses'!$C$17/12)^('Hypothèses'!$C$16*12)-(1+'Hypothèses'!$C$17/12)^(15*12))/((1+'Hypothèses'!$C$17/12)^('Hypothèses'!$C$16*12)-1)</f>
        <v>34052.6502660561</v>
      </c>
    </row>
    <row r="21" ht="13.65" customHeight="1">
      <c r="A21" s="14"/>
      <c r="B21" s="65">
        <v>16</v>
      </c>
      <c r="C21" s="38" cm="1">
        <f t="array" ref="C21">C20-F20</f>
        <v>191063.27360138</v>
      </c>
      <c r="D21" s="38" cm="1">
        <f t="array" ref="D21">$C$3*12</f>
        <v>42018.0343996051</v>
      </c>
      <c r="E21" s="38" cm="1">
        <f t="array" ref="E21">D21-F21</f>
        <v>6648.6066483554</v>
      </c>
      <c r="F21" s="38" cm="1">
        <f t="array" ref="F21">C21-('Hypothèses'!$C$15)*((1+'Hypothèses'!$C$17/12)^('Hypothèses'!$C$16*12)-(1+'Hypothèses'!$C$17/12)^(16*12))/((1+'Hypothèses'!$C$17/12)^('Hypothèses'!$C$16*12)-1)</f>
        <v>35369.4277512497</v>
      </c>
    </row>
    <row r="22" ht="13.65" customHeight="1">
      <c r="A22" s="14"/>
      <c r="B22" s="65">
        <v>17</v>
      </c>
      <c r="C22" s="38" cm="1">
        <f t="array" ref="C22">C21-F21</f>
        <v>155693.84585013</v>
      </c>
      <c r="D22" s="38" cm="1">
        <f t="array" ref="D22">$C$3*12</f>
        <v>42018.0343996051</v>
      </c>
      <c r="E22" s="38" cm="1">
        <f t="array" ref="E22">D22-F22</f>
        <v>5280.9108665845</v>
      </c>
      <c r="F22" s="38" cm="1">
        <f t="array" ref="F22">C22-('Hypothèses'!$C$15)*((1+'Hypothèses'!$C$17/12)^('Hypothèses'!$C$16*12)-(1+'Hypothèses'!$C$17/12)^(17*12))/((1+'Hypothèses'!$C$17/12)^('Hypothèses'!$C$16*12)-1)</f>
        <v>36737.1235330206</v>
      </c>
    </row>
    <row r="23" ht="13.65" customHeight="1">
      <c r="A23" s="14"/>
      <c r="B23" s="65">
        <v>18</v>
      </c>
      <c r="C23" s="38" cm="1">
        <f t="array" ref="C23">C22-F22</f>
        <v>118956.722317109</v>
      </c>
      <c r="D23" s="38" cm="1">
        <f t="array" ref="D23">$C$3*12</f>
        <v>42018.0343996051</v>
      </c>
      <c r="E23" s="38" cm="1">
        <f t="array" ref="E23">D23-F23</f>
        <v>3860.3278352759</v>
      </c>
      <c r="F23" s="38" cm="1">
        <f t="array" ref="F23">C23-('Hypothèses'!$C$15)*((1+'Hypothèses'!$C$17/12)^('Hypothèses'!$C$16*12)-(1+'Hypothèses'!$C$17/12)^(18*12))/((1+'Hypothèses'!$C$17/12)^('Hypothèses'!$C$16*12)-1)</f>
        <v>38157.7065643292</v>
      </c>
    </row>
    <row r="24" ht="13.65" customHeight="1">
      <c r="A24" s="14"/>
      <c r="B24" s="65">
        <v>19</v>
      </c>
      <c r="C24" s="38" cm="1">
        <f t="array" ref="C24">C23-F23</f>
        <v>80799.0157527798</v>
      </c>
      <c r="D24" s="38" cm="1">
        <f t="array" ref="D24">$C$3*12</f>
        <v>42018.0343996051</v>
      </c>
      <c r="E24" s="38" cm="1">
        <f t="array" ref="E24">D24-F24</f>
        <v>2384.8124642851</v>
      </c>
      <c r="F24" s="38" cm="1">
        <f t="array" ref="F24">C24-('Hypothèses'!$C$15)*((1+'Hypothèses'!$C$17/12)^('Hypothèses'!$C$16*12)-(1+'Hypothèses'!$C$17/12)^(19*12))/((1+'Hypothèses'!$C$17/12)^('Hypothèses'!$C$16*12)-1)</f>
        <v>39633.22193532</v>
      </c>
    </row>
    <row r="25" ht="13.65" customHeight="1">
      <c r="A25" s="14"/>
      <c r="B25" s="65">
        <v>20</v>
      </c>
      <c r="C25" s="38" cm="1">
        <f t="array" ref="C25">C24-F24</f>
        <v>41165.7938174598</v>
      </c>
      <c r="D25" s="38" cm="1">
        <f t="array" ref="D25">$C$3*12</f>
        <v>42018.0343996051</v>
      </c>
      <c r="E25" s="38" cm="1">
        <f t="array" ref="E25">D25-F25</f>
        <v>852.2405821453</v>
      </c>
      <c r="F25" s="38" cm="1">
        <f t="array" ref="F25">C25-('Hypothèses'!$C$15)*((1+'Hypothèses'!$C$17/12)^('Hypothèses'!$C$16*12)-(1+'Hypothèses'!$C$17/12)^(20*12))/((1+'Hypothèses'!$C$17/12)^('Hypothèses'!$C$16*12)-1)</f>
        <v>41165.7938174598</v>
      </c>
    </row>
    <row r="26" ht="13.65" customHeight="1">
      <c r="A26" s="30"/>
      <c r="B26" t="s" s="39">
        <v>130</v>
      </c>
      <c r="C26" s="40"/>
      <c r="D26" s="40" cm="1">
        <f t="array" ref="D26">SUM(D6:D25)</f>
        <v>840360.687992102</v>
      </c>
      <c r="E26" s="40" cm="1">
        <f t="array" ref="E26">SUM(E6:E25)</f>
        <v>252360.687992102</v>
      </c>
      <c r="F26" s="40" cm="1">
        <f t="array" ref="F26">SUM(F6:F25)</f>
        <v>588000.000000001</v>
      </c>
    </row>
  </sheetData>
  <mergeCells count="1">
    <mergeCell ref="A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